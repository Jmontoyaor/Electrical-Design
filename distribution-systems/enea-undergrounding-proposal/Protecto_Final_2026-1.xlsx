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uanf\OneDrive\Documentos\Escritorio\"/>
    </mc:Choice>
  </mc:AlternateContent>
  <xr:revisionPtr revIDLastSave="0" documentId="13_ncr:1_{E2858FAA-CF86-4348-A19C-6331286A5F9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lumini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6" i="1" l="1"/>
  <c r="O7" i="1"/>
  <c r="O24" i="1" s="1"/>
  <c r="O8" i="1"/>
  <c r="O9" i="1"/>
  <c r="O11" i="1"/>
  <c r="O13" i="1"/>
  <c r="O14" i="1"/>
  <c r="O15" i="1"/>
  <c r="O16" i="1"/>
  <c r="O17" i="1"/>
  <c r="O18" i="1"/>
  <c r="O19" i="1"/>
  <c r="O20" i="1"/>
  <c r="O22" i="1"/>
  <c r="O23" i="1"/>
  <c r="G5" i="1"/>
  <c r="O10" i="1" l="1"/>
  <c r="O12" i="1"/>
  <c r="R30" i="1" l="1"/>
  <c r="R47" i="1"/>
  <c r="G47" i="1"/>
  <c r="M47" i="1" s="1"/>
  <c r="R46" i="1"/>
  <c r="G46" i="1"/>
  <c r="H46" i="1" s="1"/>
  <c r="J46" i="1" s="1"/>
  <c r="R45" i="1"/>
  <c r="G45" i="1"/>
  <c r="M45" i="1" s="1"/>
  <c r="R44" i="1"/>
  <c r="G44" i="1"/>
  <c r="M44" i="1" s="1"/>
  <c r="R43" i="1"/>
  <c r="G43" i="1"/>
  <c r="M43" i="1" s="1"/>
  <c r="R42" i="1"/>
  <c r="G42" i="1"/>
  <c r="H42" i="1" s="1"/>
  <c r="J42" i="1" s="1"/>
  <c r="R41" i="1"/>
  <c r="G41" i="1"/>
  <c r="M41" i="1" s="1"/>
  <c r="R40" i="1"/>
  <c r="G40" i="1"/>
  <c r="M40" i="1" s="1"/>
  <c r="R39" i="1"/>
  <c r="G39" i="1"/>
  <c r="M39" i="1" s="1"/>
  <c r="R38" i="1"/>
  <c r="G38" i="1"/>
  <c r="H38" i="1" s="1"/>
  <c r="J38" i="1" s="1"/>
  <c r="R37" i="1"/>
  <c r="G37" i="1"/>
  <c r="M37" i="1" s="1"/>
  <c r="R36" i="1"/>
  <c r="G36" i="1"/>
  <c r="M36" i="1" s="1"/>
  <c r="R35" i="1"/>
  <c r="G35" i="1"/>
  <c r="M35" i="1" s="1"/>
  <c r="R34" i="1"/>
  <c r="G34" i="1"/>
  <c r="H34" i="1" s="1"/>
  <c r="J34" i="1" s="1"/>
  <c r="R33" i="1"/>
  <c r="G33" i="1"/>
  <c r="M33" i="1" s="1"/>
  <c r="R32" i="1"/>
  <c r="G32" i="1"/>
  <c r="M32" i="1" s="1"/>
  <c r="R31" i="1"/>
  <c r="G31" i="1"/>
  <c r="M31" i="1" s="1"/>
  <c r="G30" i="1"/>
  <c r="M30" i="1" s="1"/>
  <c r="N30" i="1" s="1"/>
  <c r="G24" i="1"/>
  <c r="M24" i="1" s="1"/>
  <c r="G23" i="1"/>
  <c r="M23" i="1" s="1"/>
  <c r="G22" i="1"/>
  <c r="M22" i="1" s="1"/>
  <c r="G21" i="1"/>
  <c r="H21" i="1" s="1"/>
  <c r="J21" i="1" s="1"/>
  <c r="G20" i="1"/>
  <c r="H20" i="1" s="1"/>
  <c r="J20" i="1" s="1"/>
  <c r="G18" i="1"/>
  <c r="M18" i="1" s="1"/>
  <c r="H35" i="1" l="1"/>
  <c r="J35" i="1" s="1"/>
  <c r="H31" i="1"/>
  <c r="J31" i="1" s="1"/>
  <c r="H43" i="1"/>
  <c r="J43" i="1" s="1"/>
  <c r="H39" i="1"/>
  <c r="J39" i="1" s="1"/>
  <c r="H33" i="1"/>
  <c r="J33" i="1" s="1"/>
  <c r="H37" i="1"/>
  <c r="J37" i="1" s="1"/>
  <c r="H41" i="1"/>
  <c r="J41" i="1" s="1"/>
  <c r="H45" i="1"/>
  <c r="J45" i="1" s="1"/>
  <c r="H30" i="1"/>
  <c r="J30" i="1" s="1"/>
  <c r="N31" i="1"/>
  <c r="N32" i="1" s="1"/>
  <c r="N33" i="1" s="1"/>
  <c r="H32" i="1"/>
  <c r="J32" i="1" s="1"/>
  <c r="M34" i="1"/>
  <c r="H36" i="1"/>
  <c r="J36" i="1" s="1"/>
  <c r="M38" i="1"/>
  <c r="H40" i="1"/>
  <c r="J40" i="1" s="1"/>
  <c r="M42" i="1"/>
  <c r="H44" i="1"/>
  <c r="J44" i="1" s="1"/>
  <c r="M46" i="1"/>
  <c r="H47" i="1"/>
  <c r="J47" i="1" s="1"/>
  <c r="M21" i="1"/>
  <c r="H22" i="1"/>
  <c r="J22" i="1" s="1"/>
  <c r="M20" i="1"/>
  <c r="H18" i="1"/>
  <c r="J18" i="1" s="1"/>
  <c r="H24" i="1"/>
  <c r="J24" i="1" s="1"/>
  <c r="H23" i="1"/>
  <c r="J23" i="1" s="1"/>
  <c r="G19" i="1"/>
  <c r="H5" i="1" l="1"/>
  <c r="J5" i="1" s="1"/>
  <c r="M5" i="1"/>
  <c r="N5" i="1" s="1"/>
  <c r="N34" i="1"/>
  <c r="N35" i="1" s="1"/>
  <c r="N36" i="1" s="1"/>
  <c r="N37" i="1" s="1"/>
  <c r="N38" i="1" s="1"/>
  <c r="N39" i="1" s="1"/>
  <c r="N40" i="1" s="1"/>
  <c r="N41" i="1" s="1"/>
  <c r="N42" i="1" s="1"/>
  <c r="N43" i="1" s="1"/>
  <c r="N44" i="1" s="1"/>
  <c r="N45" i="1" s="1"/>
  <c r="N46" i="1" s="1"/>
  <c r="N47" i="1" s="1"/>
  <c r="G12" i="1"/>
  <c r="H19" i="1"/>
  <c r="J19" i="1" s="1"/>
  <c r="M19" i="1"/>
  <c r="G9" i="1" l="1"/>
  <c r="M9" i="1" s="1"/>
  <c r="G6" i="1"/>
  <c r="G13" i="1"/>
  <c r="H13" i="1" s="1"/>
  <c r="J13" i="1" s="1"/>
  <c r="G10" i="1"/>
  <c r="M10" i="1" s="1"/>
  <c r="G14" i="1"/>
  <c r="G11" i="1"/>
  <c r="M11" i="1" s="1"/>
  <c r="G7" i="1"/>
  <c r="M7" i="1" s="1"/>
  <c r="G8" i="1"/>
  <c r="M8" i="1" s="1"/>
  <c r="M12" i="1"/>
  <c r="H12" i="1"/>
  <c r="J12" i="1" s="1"/>
  <c r="H8" i="1" l="1"/>
  <c r="J8" i="1" s="1"/>
  <c r="H10" i="1"/>
  <c r="J10" i="1" s="1"/>
  <c r="H9" i="1"/>
  <c r="J9" i="1" s="1"/>
  <c r="M13" i="1"/>
  <c r="H7" i="1"/>
  <c r="J7" i="1" s="1"/>
  <c r="H11" i="1"/>
  <c r="J11" i="1" s="1"/>
  <c r="M6" i="1"/>
  <c r="N6" i="1" s="1"/>
  <c r="N7" i="1" s="1"/>
  <c r="N8" i="1" s="1"/>
  <c r="N9" i="1" s="1"/>
  <c r="N10" i="1" s="1"/>
  <c r="N11" i="1" s="1"/>
  <c r="N12" i="1" s="1"/>
  <c r="H6" i="1"/>
  <c r="J6" i="1" s="1"/>
  <c r="M14" i="1"/>
  <c r="H14" i="1"/>
  <c r="J14" i="1" s="1"/>
  <c r="N13" i="1" l="1"/>
  <c r="N14" i="1" s="1"/>
  <c r="G15" i="1"/>
  <c r="M15" i="1" s="1"/>
  <c r="G17" i="1"/>
  <c r="G16" i="1"/>
  <c r="H15" i="1" l="1"/>
  <c r="J15" i="1" s="1"/>
  <c r="N15" i="1"/>
  <c r="M16" i="1"/>
  <c r="H16" i="1"/>
  <c r="J16" i="1" s="1"/>
  <c r="H17" i="1"/>
  <c r="J17" i="1" s="1"/>
  <c r="M17" i="1"/>
  <c r="N16" i="1" l="1"/>
  <c r="N17" i="1" s="1"/>
  <c r="N18" i="1" s="1"/>
  <c r="N19" i="1" s="1"/>
  <c r="N20" i="1" s="1"/>
  <c r="N21" i="1" s="1"/>
  <c r="N22" i="1" s="1"/>
  <c r="N23" i="1" s="1"/>
  <c r="N24" i="1" s="1"/>
</calcChain>
</file>

<file path=xl/sharedStrings.xml><?xml version="1.0" encoding="utf-8"?>
<sst xmlns="http://schemas.openxmlformats.org/spreadsheetml/2006/main" count="126" uniqueCount="42">
  <si>
    <t>CARGA [kVA]</t>
  </si>
  <si>
    <t>FD</t>
  </si>
  <si>
    <t>Dist [m]</t>
  </si>
  <si>
    <t>CARGA Div[kVA]</t>
  </si>
  <si>
    <t>In</t>
  </si>
  <si>
    <t>In (Máx) Conductor (A)</t>
  </si>
  <si>
    <t>Cargabilidad</t>
  </si>
  <si>
    <t>CONDUCTOR</t>
  </si>
  <si>
    <t>Cte [%/kVA-m]</t>
  </si>
  <si>
    <t>Reg. Parcial</t>
  </si>
  <si>
    <t>Reg. Total</t>
  </si>
  <si>
    <t>área conductores mm²</t>
  </si>
  <si>
    <t>Ducto "</t>
  </si>
  <si>
    <t>área ducto mm²</t>
  </si>
  <si>
    <t>% ocupación</t>
  </si>
  <si>
    <t>Equivalencia conductor Cu</t>
  </si>
  <si>
    <t>S/E 1 A S/E 2</t>
  </si>
  <si>
    <t>S/E 2 A S/E 3</t>
  </si>
  <si>
    <t>S/E 3 A S/E 4</t>
  </si>
  <si>
    <t>S/E 4 A S/E 5</t>
  </si>
  <si>
    <t>S/E 5 A S/E 6</t>
  </si>
  <si>
    <t>S/E 6 A S/E 7</t>
  </si>
  <si>
    <t>S/E 7 A S/E 8</t>
  </si>
  <si>
    <t>S/E 8 A S/E 9</t>
  </si>
  <si>
    <t>S/E 9 A S/E 10</t>
  </si>
  <si>
    <t>S/E 10 A S/E 11</t>
  </si>
  <si>
    <t>S/E 11 A S/E 12</t>
  </si>
  <si>
    <t>S/E 12 A S/E 13</t>
  </si>
  <si>
    <t>S/E 13 A S/E 14</t>
  </si>
  <si>
    <t>S/E 14 A S/E 15</t>
  </si>
  <si>
    <t>S/E 15 A S/E 16</t>
  </si>
  <si>
    <t>S/E 16 A S/E 17</t>
  </si>
  <si>
    <t>S/E 17 A S/E 18</t>
  </si>
  <si>
    <t>S/E 18 A S/E 19</t>
  </si>
  <si>
    <t>S/E 19 A S/E 20</t>
  </si>
  <si>
    <t>S/E 20 A S/E 21</t>
  </si>
  <si>
    <t>TRAMO</t>
  </si>
  <si>
    <t>3 x 2 ACSR 13,2 kV Al</t>
  </si>
  <si>
    <t>2/0 AWG Cu XLPE 15 kV</t>
  </si>
  <si>
    <t xml:space="preserve">Tabla de Regulación y Ocupación de Ductos cobre Proyectado </t>
  </si>
  <si>
    <t>Cable monopolar Cu 2/0 AWG XLPE 15 kV</t>
  </si>
  <si>
    <t>Tabla de Regulación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</si>
</sst>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10"/>
      <color rgb="FF000000"/>
      <name val="&quot;Gill Sans MT&quot;"/>
    </font>
    <font>
      <b/>
      <sz val="11"/>
      <color rgb="FF000000"/>
      <name val="Calibri"/>
      <family val="2"/>
    </font>
    <font>
      <sz val="10"/>
      <color theme="1"/>
      <name val="Times New Roman"/>
      <family val="1"/>
    </font>
    <font>
      <sz val="10"/>
      <color theme="1"/>
      <name val="Arial"/>
      <family val="2"/>
      <scheme val="major"/>
    </font>
    <font>
      <sz val="10"/>
      <color rgb="FF000000"/>
      <name val="Arial"/>
      <family val="2"/>
      <scheme val="minor"/>
    </font>
    <font>
      <sz val="8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16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5" fillId="0" borderId="0" xfId="0" applyFont="1"/>
    <xf numFmtId="0" fontId="4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1" fontId="4" fillId="0" borderId="1" xfId="0" applyNumberFormat="1" applyFont="1" applyBorder="1" applyAlignment="1">
      <alignment horizontal="center"/>
    </xf>
    <xf numFmtId="10" fontId="4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3" fontId="6" fillId="0" borderId="1" xfId="0" applyNumberFormat="1" applyFont="1" applyBorder="1" applyAlignment="1">
      <alignment horizontal="center" vertical="center" wrapText="1"/>
    </xf>
    <xf numFmtId="0" fontId="7" fillId="0" borderId="5" xfId="0" applyFont="1" applyBorder="1" applyAlignment="1">
      <alignment vertical="center" wrapText="1"/>
    </xf>
    <xf numFmtId="0" fontId="1" fillId="2" borderId="0" xfId="0" applyFont="1" applyFill="1"/>
    <xf numFmtId="0" fontId="1" fillId="0" borderId="0" xfId="0" applyFont="1" applyAlignment="1">
      <alignment horizontal="center"/>
    </xf>
    <xf numFmtId="10" fontId="4" fillId="0" borderId="0" xfId="0" applyNumberFormat="1" applyFont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10" fontId="4" fillId="0" borderId="3" xfId="0" applyNumberFormat="1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0" fillId="0" borderId="1" xfId="0" applyBorder="1"/>
    <xf numFmtId="0" fontId="8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U47"/>
  <sheetViews>
    <sheetView tabSelected="1" topLeftCell="F23" zoomScale="85" zoomScaleNormal="85" workbookViewId="0">
      <selection activeCell="M39" sqref="M39"/>
    </sheetView>
  </sheetViews>
  <sheetFormatPr baseColWidth="10" defaultColWidth="12.6640625" defaultRowHeight="15.75" customHeight="1"/>
  <cols>
    <col min="2" max="2" width="10.33203125" customWidth="1"/>
    <col min="3" max="3" width="25.21875" customWidth="1"/>
    <col min="7" max="7" width="22.21875" customWidth="1"/>
    <col min="9" max="9" width="22.5546875" customWidth="1"/>
    <col min="11" max="11" width="23.21875" customWidth="1"/>
    <col min="15" max="15" width="19.5546875" customWidth="1"/>
    <col min="16" max="16" width="17.44140625" customWidth="1"/>
    <col min="17" max="17" width="24.21875" customWidth="1"/>
    <col min="19" max="19" width="38.6640625" customWidth="1"/>
  </cols>
  <sheetData>
    <row r="1" spans="1:21" ht="13.2">
      <c r="A1" s="1">
        <v>0</v>
      </c>
    </row>
    <row r="2" spans="1:21" ht="13.2">
      <c r="R2" s="2"/>
    </row>
    <row r="3" spans="1:21" ht="15.75" customHeight="1" thickBot="1">
      <c r="B3" s="3"/>
      <c r="C3" s="3" t="s">
        <v>41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1" ht="15.75" customHeight="1">
      <c r="B4" s="4"/>
      <c r="C4" s="19" t="s">
        <v>36</v>
      </c>
      <c r="D4" s="20" t="s">
        <v>0</v>
      </c>
      <c r="E4" s="20" t="s">
        <v>1</v>
      </c>
      <c r="F4" s="20" t="s">
        <v>2</v>
      </c>
      <c r="G4" s="20" t="s">
        <v>3</v>
      </c>
      <c r="H4" s="20" t="s">
        <v>4</v>
      </c>
      <c r="I4" s="20" t="s">
        <v>5</v>
      </c>
      <c r="J4" s="20" t="s">
        <v>6</v>
      </c>
      <c r="K4" s="20" t="s">
        <v>7</v>
      </c>
      <c r="L4" s="20" t="s">
        <v>8</v>
      </c>
      <c r="M4" s="20" t="s">
        <v>9</v>
      </c>
      <c r="N4" s="20" t="s">
        <v>10</v>
      </c>
      <c r="O4" s="20" t="s">
        <v>11</v>
      </c>
      <c r="P4" s="3"/>
      <c r="Q4" s="3"/>
    </row>
    <row r="5" spans="1:21" ht="15.75" customHeight="1">
      <c r="B5" s="5"/>
      <c r="C5" s="15" t="s">
        <v>16</v>
      </c>
      <c r="D5" s="14">
        <v>85</v>
      </c>
      <c r="E5" s="8">
        <v>1</v>
      </c>
      <c r="F5" s="13">
        <v>49.37</v>
      </c>
      <c r="G5" s="8">
        <f>+D5*E5</f>
        <v>85</v>
      </c>
      <c r="H5" s="8">
        <f t="shared" ref="H5:H24" si="0">G5/(SQRT(3)*13.2)</f>
        <v>3.717785824327136</v>
      </c>
      <c r="I5" s="10">
        <v>270</v>
      </c>
      <c r="J5" s="8">
        <f t="shared" ref="J5:J24" si="1">+H5/I5</f>
        <v>1.376957712713754E-2</v>
      </c>
      <c r="K5" s="9" t="s">
        <v>37</v>
      </c>
      <c r="L5" s="11">
        <v>5.8218192999999998E-8</v>
      </c>
      <c r="M5" s="11">
        <f>F5*G5*L5</f>
        <v>2.4430973601484999E-4</v>
      </c>
      <c r="N5" s="11">
        <f>M5</f>
        <v>2.4430973601484999E-4</v>
      </c>
      <c r="O5" s="9">
        <v>226.98</v>
      </c>
      <c r="P5" s="3"/>
      <c r="Q5" s="3"/>
    </row>
    <row r="6" spans="1:21" ht="15.75" customHeight="1">
      <c r="B6" s="5"/>
      <c r="C6" s="15" t="s">
        <v>17</v>
      </c>
      <c r="D6" s="13">
        <v>75</v>
      </c>
      <c r="E6" s="8">
        <v>1</v>
      </c>
      <c r="F6" s="13">
        <v>47.23</v>
      </c>
      <c r="G6" s="8">
        <f t="shared" ref="G6:G24" si="2">+D6*E6</f>
        <v>75</v>
      </c>
      <c r="H6" s="8">
        <f t="shared" si="0"/>
        <v>3.2803992567592379</v>
      </c>
      <c r="I6" s="10">
        <v>270</v>
      </c>
      <c r="J6" s="8">
        <f t="shared" si="1"/>
        <v>1.2149626876886066E-2</v>
      </c>
      <c r="K6" s="9" t="s">
        <v>37</v>
      </c>
      <c r="L6" s="11">
        <v>5.8218192999999998E-8</v>
      </c>
      <c r="M6" s="11">
        <f t="shared" ref="M6:M24" si="3">F6*G6*L6</f>
        <v>2.0622339415424996E-4</v>
      </c>
      <c r="N6" s="11">
        <f t="shared" ref="N6:N24" si="4">M6+N5</f>
        <v>4.5053313016909992E-4</v>
      </c>
      <c r="O6" s="9">
        <f>O5*2</f>
        <v>453.96</v>
      </c>
      <c r="P6" s="3"/>
      <c r="Q6" s="3"/>
    </row>
    <row r="7" spans="1:21" ht="15.75" customHeight="1">
      <c r="B7" s="5"/>
      <c r="C7" s="15" t="s">
        <v>18</v>
      </c>
      <c r="D7" s="14">
        <v>75</v>
      </c>
      <c r="E7" s="8">
        <v>1</v>
      </c>
      <c r="F7" s="13">
        <v>36</v>
      </c>
      <c r="G7" s="8">
        <f t="shared" si="2"/>
        <v>75</v>
      </c>
      <c r="H7" s="8">
        <f t="shared" si="0"/>
        <v>3.2803992567592379</v>
      </c>
      <c r="I7" s="10">
        <v>270</v>
      </c>
      <c r="J7" s="8">
        <f t="shared" si="1"/>
        <v>1.2149626876886066E-2</v>
      </c>
      <c r="K7" s="9" t="s">
        <v>37</v>
      </c>
      <c r="L7" s="11">
        <v>5.8218192999999998E-8</v>
      </c>
      <c r="M7" s="11">
        <f t="shared" si="3"/>
        <v>1.571891211E-4</v>
      </c>
      <c r="N7" s="11">
        <f t="shared" si="4"/>
        <v>6.0772225126909992E-4</v>
      </c>
      <c r="O7" s="9">
        <f>(O5)*3</f>
        <v>680.93999999999994</v>
      </c>
      <c r="P7" s="3"/>
      <c r="Q7" s="3"/>
    </row>
    <row r="8" spans="1:21" ht="15.75" customHeight="1">
      <c r="B8" s="5"/>
      <c r="C8" s="15" t="s">
        <v>19</v>
      </c>
      <c r="D8" s="13">
        <v>75</v>
      </c>
      <c r="E8" s="8">
        <v>1</v>
      </c>
      <c r="F8" s="13">
        <v>29.3</v>
      </c>
      <c r="G8" s="8">
        <f t="shared" si="2"/>
        <v>75</v>
      </c>
      <c r="H8" s="8">
        <f t="shared" si="0"/>
        <v>3.2803992567592379</v>
      </c>
      <c r="I8" s="10">
        <v>270</v>
      </c>
      <c r="J8" s="8">
        <f t="shared" si="1"/>
        <v>1.2149626876886066E-2</v>
      </c>
      <c r="K8" s="9" t="s">
        <v>37</v>
      </c>
      <c r="L8" s="11">
        <v>5.8218192999999998E-8</v>
      </c>
      <c r="M8" s="11">
        <f t="shared" si="3"/>
        <v>1.279344791175E-4</v>
      </c>
      <c r="N8" s="11">
        <f t="shared" si="4"/>
        <v>7.3565673038659995E-4</v>
      </c>
      <c r="O8" s="9">
        <f>$O$7</f>
        <v>680.93999999999994</v>
      </c>
      <c r="P8" s="3"/>
      <c r="Q8" s="3"/>
    </row>
    <row r="9" spans="1:21" ht="15.75" customHeight="1">
      <c r="B9" s="5"/>
      <c r="C9" s="15" t="s">
        <v>20</v>
      </c>
      <c r="D9" s="14">
        <v>75</v>
      </c>
      <c r="E9" s="8">
        <v>1</v>
      </c>
      <c r="F9" s="13">
        <v>41.3</v>
      </c>
      <c r="G9" s="8">
        <f t="shared" si="2"/>
        <v>75</v>
      </c>
      <c r="H9" s="8">
        <f t="shared" si="0"/>
        <v>3.2803992567592379</v>
      </c>
      <c r="I9" s="10">
        <v>270</v>
      </c>
      <c r="J9" s="8">
        <f t="shared" si="1"/>
        <v>1.2149626876886066E-2</v>
      </c>
      <c r="K9" s="9" t="s">
        <v>37</v>
      </c>
      <c r="L9" s="11">
        <v>5.8218192999999998E-8</v>
      </c>
      <c r="M9" s="11">
        <f t="shared" si="3"/>
        <v>1.803308528175E-4</v>
      </c>
      <c r="N9" s="11">
        <f t="shared" si="4"/>
        <v>9.1598758320409997E-4</v>
      </c>
      <c r="O9" s="9">
        <f>$O$7</f>
        <v>680.93999999999994</v>
      </c>
      <c r="P9" s="3"/>
      <c r="Q9" s="3"/>
    </row>
    <row r="10" spans="1:21" ht="15.75" customHeight="1">
      <c r="B10" s="5"/>
      <c r="C10" s="15" t="s">
        <v>21</v>
      </c>
      <c r="D10" s="13">
        <v>50</v>
      </c>
      <c r="E10" s="8">
        <v>1</v>
      </c>
      <c r="F10" s="13">
        <v>33.880000000000003</v>
      </c>
      <c r="G10" s="8">
        <f t="shared" si="2"/>
        <v>50</v>
      </c>
      <c r="H10" s="8">
        <f t="shared" si="0"/>
        <v>2.1869328378394917</v>
      </c>
      <c r="I10" s="10">
        <v>270</v>
      </c>
      <c r="J10" s="8">
        <f t="shared" si="1"/>
        <v>8.0997512512573765E-3</v>
      </c>
      <c r="K10" s="9" t="s">
        <v>37</v>
      </c>
      <c r="L10" s="11">
        <v>5.8218192999999998E-8</v>
      </c>
      <c r="M10" s="11">
        <f t="shared" si="3"/>
        <v>9.8621618942000005E-5</v>
      </c>
      <c r="N10" s="11">
        <f t="shared" si="4"/>
        <v>1.0146092021461001E-3</v>
      </c>
      <c r="O10" s="9">
        <f>$O$7</f>
        <v>680.93999999999994</v>
      </c>
      <c r="P10" s="3"/>
      <c r="Q10" s="3"/>
    </row>
    <row r="11" spans="1:21" ht="15.75" customHeight="1">
      <c r="B11" s="5"/>
      <c r="C11" s="15" t="s">
        <v>22</v>
      </c>
      <c r="D11" s="14">
        <v>50</v>
      </c>
      <c r="E11" s="8">
        <v>1</v>
      </c>
      <c r="F11" s="13">
        <v>30.97</v>
      </c>
      <c r="G11" s="8">
        <f t="shared" si="2"/>
        <v>50</v>
      </c>
      <c r="H11" s="8">
        <f t="shared" si="0"/>
        <v>2.1869328378394917</v>
      </c>
      <c r="I11" s="10">
        <v>270</v>
      </c>
      <c r="J11" s="8">
        <f t="shared" si="1"/>
        <v>8.0997512512573765E-3</v>
      </c>
      <c r="K11" s="9" t="s">
        <v>37</v>
      </c>
      <c r="L11" s="11">
        <v>5.8218192999999998E-8</v>
      </c>
      <c r="M11" s="11">
        <f t="shared" si="3"/>
        <v>9.0150871860499997E-5</v>
      </c>
      <c r="N11" s="11">
        <f t="shared" si="4"/>
        <v>1.1047600740066001E-3</v>
      </c>
      <c r="O11" s="9">
        <f>$O$7</f>
        <v>680.93999999999994</v>
      </c>
      <c r="P11" s="3"/>
      <c r="Q11" s="3"/>
    </row>
    <row r="12" spans="1:21" ht="15.75" customHeight="1">
      <c r="B12" s="5"/>
      <c r="C12" s="15" t="s">
        <v>23</v>
      </c>
      <c r="D12" s="13">
        <v>50</v>
      </c>
      <c r="E12" s="8">
        <v>1</v>
      </c>
      <c r="F12" s="13">
        <v>54.34</v>
      </c>
      <c r="G12" s="8">
        <f t="shared" si="2"/>
        <v>50</v>
      </c>
      <c r="H12" s="8">
        <f t="shared" si="0"/>
        <v>2.1869328378394917</v>
      </c>
      <c r="I12" s="10">
        <v>270</v>
      </c>
      <c r="J12" s="8">
        <f t="shared" si="1"/>
        <v>8.0997512512573765E-3</v>
      </c>
      <c r="K12" s="9" t="s">
        <v>37</v>
      </c>
      <c r="L12" s="11">
        <v>5.8218192999999998E-8</v>
      </c>
      <c r="M12" s="11">
        <f t="shared" si="3"/>
        <v>1.5817883038099999E-4</v>
      </c>
      <c r="N12" s="11">
        <f t="shared" si="4"/>
        <v>1.2629389043876001E-3</v>
      </c>
      <c r="O12" s="9">
        <f>$O$7</f>
        <v>680.93999999999994</v>
      </c>
      <c r="P12" s="3"/>
      <c r="Q12" s="3"/>
    </row>
    <row r="13" spans="1:21" ht="15.75" customHeight="1">
      <c r="B13" s="5"/>
      <c r="C13" s="15" t="s">
        <v>24</v>
      </c>
      <c r="D13" s="14">
        <v>50</v>
      </c>
      <c r="E13" s="8">
        <v>1</v>
      </c>
      <c r="F13" s="13">
        <v>65.209999999999994</v>
      </c>
      <c r="G13" s="8">
        <f t="shared" si="2"/>
        <v>50</v>
      </c>
      <c r="H13" s="8">
        <f t="shared" si="0"/>
        <v>2.1869328378394917</v>
      </c>
      <c r="I13" s="10">
        <v>270</v>
      </c>
      <c r="J13" s="8">
        <f t="shared" si="1"/>
        <v>8.0997512512573765E-3</v>
      </c>
      <c r="K13" s="9" t="s">
        <v>37</v>
      </c>
      <c r="L13" s="11">
        <v>5.8218192999999998E-8</v>
      </c>
      <c r="M13" s="11">
        <f t="shared" si="3"/>
        <v>1.8982041827649997E-4</v>
      </c>
      <c r="N13" s="11">
        <f t="shared" si="4"/>
        <v>1.4527593226640999E-3</v>
      </c>
      <c r="O13" s="9">
        <f>$O$7</f>
        <v>680.93999999999994</v>
      </c>
      <c r="P13" s="3"/>
      <c r="Q13" s="3"/>
    </row>
    <row r="14" spans="1:21" ht="15.75" customHeight="1">
      <c r="B14" s="5"/>
      <c r="C14" s="15" t="s">
        <v>25</v>
      </c>
      <c r="D14" s="13">
        <v>90</v>
      </c>
      <c r="E14" s="8">
        <v>1</v>
      </c>
      <c r="F14" s="13">
        <v>58.97</v>
      </c>
      <c r="G14" s="8">
        <f t="shared" si="2"/>
        <v>90</v>
      </c>
      <c r="H14" s="8">
        <f t="shared" si="0"/>
        <v>3.9364791081110853</v>
      </c>
      <c r="I14" s="10">
        <v>270</v>
      </c>
      <c r="J14" s="8">
        <f t="shared" si="1"/>
        <v>1.4579552252263279E-2</v>
      </c>
      <c r="K14" s="9" t="s">
        <v>37</v>
      </c>
      <c r="L14" s="11">
        <v>5.8218192999999998E-8</v>
      </c>
      <c r="M14" s="11">
        <f t="shared" si="3"/>
        <v>3.0898141570889998E-4</v>
      </c>
      <c r="N14" s="11">
        <f t="shared" si="4"/>
        <v>1.7617407383729998E-3</v>
      </c>
      <c r="O14" s="9">
        <f>$O$7</f>
        <v>680.93999999999994</v>
      </c>
      <c r="P14" s="3"/>
      <c r="Q14" s="3"/>
    </row>
    <row r="15" spans="1:21" ht="15.75" customHeight="1">
      <c r="B15" s="5"/>
      <c r="C15" s="15" t="s">
        <v>26</v>
      </c>
      <c r="D15" s="14">
        <v>150</v>
      </c>
      <c r="E15" s="8">
        <v>1</v>
      </c>
      <c r="F15" s="13">
        <v>64.38</v>
      </c>
      <c r="G15" s="8">
        <f t="shared" si="2"/>
        <v>150</v>
      </c>
      <c r="H15" s="8">
        <f t="shared" si="0"/>
        <v>6.5607985135184759</v>
      </c>
      <c r="I15" s="10">
        <v>270</v>
      </c>
      <c r="J15" s="8">
        <f t="shared" si="1"/>
        <v>2.4299253753772131E-2</v>
      </c>
      <c r="K15" s="9" t="s">
        <v>37</v>
      </c>
      <c r="L15" s="11">
        <v>5.8218192999999998E-8</v>
      </c>
      <c r="M15" s="11">
        <f t="shared" si="3"/>
        <v>5.6221308980099996E-4</v>
      </c>
      <c r="N15" s="11">
        <f t="shared" si="4"/>
        <v>2.323953828174E-3</v>
      </c>
      <c r="O15" s="9">
        <f>$O$7</f>
        <v>680.93999999999994</v>
      </c>
      <c r="P15" s="3"/>
      <c r="Q15" s="3"/>
    </row>
    <row r="16" spans="1:21" ht="15.75" customHeight="1">
      <c r="B16" s="5"/>
      <c r="C16" s="15" t="s">
        <v>27</v>
      </c>
      <c r="D16" s="13">
        <v>150</v>
      </c>
      <c r="E16" s="8">
        <v>1</v>
      </c>
      <c r="F16" s="13">
        <v>56.05</v>
      </c>
      <c r="G16" s="8">
        <f t="shared" si="2"/>
        <v>150</v>
      </c>
      <c r="H16" s="8">
        <f t="shared" si="0"/>
        <v>6.5607985135184759</v>
      </c>
      <c r="I16" s="10">
        <v>270</v>
      </c>
      <c r="J16" s="8">
        <f t="shared" si="1"/>
        <v>2.4299253753772131E-2</v>
      </c>
      <c r="K16" s="9" t="s">
        <v>37</v>
      </c>
      <c r="L16" s="11">
        <v>5.8218192999999998E-8</v>
      </c>
      <c r="M16" s="11">
        <f t="shared" si="3"/>
        <v>4.8946945764749995E-4</v>
      </c>
      <c r="N16" s="11">
        <f t="shared" si="4"/>
        <v>2.8134232858214999E-3</v>
      </c>
      <c r="O16" s="9">
        <f>$O$6</f>
        <v>453.96</v>
      </c>
      <c r="P16" s="3"/>
      <c r="Q16" s="3"/>
    </row>
    <row r="17" spans="2:21" ht="15.75" customHeight="1">
      <c r="B17" s="5"/>
      <c r="C17" s="15" t="s">
        <v>28</v>
      </c>
      <c r="D17" s="14">
        <v>75</v>
      </c>
      <c r="E17" s="8">
        <v>1</v>
      </c>
      <c r="F17" s="13">
        <v>48.32</v>
      </c>
      <c r="G17" s="8">
        <f t="shared" si="2"/>
        <v>75</v>
      </c>
      <c r="H17" s="8">
        <f t="shared" si="0"/>
        <v>3.2803992567592379</v>
      </c>
      <c r="I17" s="10">
        <v>270</v>
      </c>
      <c r="J17" s="8">
        <f t="shared" si="1"/>
        <v>1.2149626876886066E-2</v>
      </c>
      <c r="K17" s="9" t="s">
        <v>37</v>
      </c>
      <c r="L17" s="11">
        <v>5.8218192999999998E-8</v>
      </c>
      <c r="M17" s="11">
        <f t="shared" si="3"/>
        <v>2.10982731432E-4</v>
      </c>
      <c r="N17" s="11">
        <f t="shared" si="4"/>
        <v>3.0244060172535002E-3</v>
      </c>
      <c r="O17" s="9">
        <f>$O$6</f>
        <v>453.96</v>
      </c>
      <c r="P17" s="3"/>
      <c r="Q17" s="3"/>
    </row>
    <row r="18" spans="2:21" ht="15.75" customHeight="1">
      <c r="B18" s="5"/>
      <c r="C18" s="15" t="s">
        <v>29</v>
      </c>
      <c r="D18" s="13">
        <v>75</v>
      </c>
      <c r="E18" s="8">
        <v>1</v>
      </c>
      <c r="F18" s="13">
        <v>45.88</v>
      </c>
      <c r="G18" s="8">
        <f t="shared" si="2"/>
        <v>75</v>
      </c>
      <c r="H18" s="8">
        <f t="shared" si="0"/>
        <v>3.2803992567592379</v>
      </c>
      <c r="I18" s="10">
        <v>270</v>
      </c>
      <c r="J18" s="8">
        <f t="shared" si="1"/>
        <v>1.2149626876886066E-2</v>
      </c>
      <c r="K18" s="9" t="s">
        <v>37</v>
      </c>
      <c r="L18" s="11">
        <v>5.8218192999999998E-8</v>
      </c>
      <c r="M18" s="11">
        <f t="shared" si="3"/>
        <v>2.0032880211299999E-4</v>
      </c>
      <c r="N18" s="11">
        <f t="shared" si="4"/>
        <v>3.2247348193664999E-3</v>
      </c>
      <c r="O18" s="9">
        <f>$O$6</f>
        <v>453.96</v>
      </c>
      <c r="P18" s="3"/>
      <c r="Q18" s="3"/>
    </row>
    <row r="19" spans="2:21" ht="15.75" customHeight="1">
      <c r="B19" s="5"/>
      <c r="C19" s="15" t="s">
        <v>30</v>
      </c>
      <c r="D19" s="14">
        <v>75</v>
      </c>
      <c r="E19" s="8">
        <v>1</v>
      </c>
      <c r="F19" s="13">
        <v>47.53</v>
      </c>
      <c r="G19" s="8">
        <f t="shared" si="2"/>
        <v>75</v>
      </c>
      <c r="H19" s="8">
        <f t="shared" si="0"/>
        <v>3.2803992567592379</v>
      </c>
      <c r="I19" s="10">
        <v>270</v>
      </c>
      <c r="J19" s="8">
        <f t="shared" si="1"/>
        <v>1.2149626876886066E-2</v>
      </c>
      <c r="K19" s="9" t="s">
        <v>37</v>
      </c>
      <c r="L19" s="11">
        <v>5.8218192999999998E-8</v>
      </c>
      <c r="M19" s="11">
        <f t="shared" si="3"/>
        <v>2.0753330349674998E-4</v>
      </c>
      <c r="N19" s="11">
        <f t="shared" si="4"/>
        <v>3.43226812286325E-3</v>
      </c>
      <c r="O19" s="9">
        <f>$O$6</f>
        <v>453.96</v>
      </c>
      <c r="P19" s="3"/>
      <c r="Q19" s="3"/>
    </row>
    <row r="20" spans="2:21" ht="15.75" customHeight="1">
      <c r="B20" s="5"/>
      <c r="C20" s="15" t="s">
        <v>31</v>
      </c>
      <c r="D20" s="13">
        <v>125</v>
      </c>
      <c r="E20" s="8">
        <v>1</v>
      </c>
      <c r="F20" s="13">
        <v>70</v>
      </c>
      <c r="G20" s="8">
        <f t="shared" si="2"/>
        <v>125</v>
      </c>
      <c r="H20" s="8">
        <f t="shared" si="0"/>
        <v>5.4673320945987296</v>
      </c>
      <c r="I20" s="10">
        <v>270</v>
      </c>
      <c r="J20" s="8">
        <f t="shared" si="1"/>
        <v>2.0249378128143442E-2</v>
      </c>
      <c r="K20" s="9" t="s">
        <v>37</v>
      </c>
      <c r="L20" s="11">
        <v>5.8218192999999998E-8</v>
      </c>
      <c r="M20" s="11">
        <f t="shared" si="3"/>
        <v>5.0940918874999995E-4</v>
      </c>
      <c r="N20" s="11">
        <f t="shared" si="4"/>
        <v>3.9416773116132502E-3</v>
      </c>
      <c r="O20" s="9">
        <f>$O$6</f>
        <v>453.96</v>
      </c>
      <c r="P20" s="3"/>
      <c r="Q20" s="3"/>
    </row>
    <row r="21" spans="2:21" ht="15.75" customHeight="1">
      <c r="B21" s="5"/>
      <c r="C21" s="15" t="s">
        <v>32</v>
      </c>
      <c r="D21" s="14">
        <v>75</v>
      </c>
      <c r="E21" s="8">
        <v>1</v>
      </c>
      <c r="F21" s="13">
        <v>76</v>
      </c>
      <c r="G21" s="8">
        <f t="shared" si="2"/>
        <v>75</v>
      </c>
      <c r="H21" s="8">
        <f t="shared" si="0"/>
        <v>3.2803992567592379</v>
      </c>
      <c r="I21" s="10">
        <v>270</v>
      </c>
      <c r="J21" s="8">
        <f t="shared" si="1"/>
        <v>1.2149626876886066E-2</v>
      </c>
      <c r="K21" s="9" t="s">
        <v>37</v>
      </c>
      <c r="L21" s="11">
        <v>5.8218192999999998E-8</v>
      </c>
      <c r="M21" s="11">
        <f t="shared" si="3"/>
        <v>3.3184370009999996E-4</v>
      </c>
      <c r="N21" s="11">
        <f t="shared" si="4"/>
        <v>4.2735210117132499E-3</v>
      </c>
      <c r="O21" s="9">
        <v>453.96</v>
      </c>
      <c r="P21" s="3"/>
      <c r="Q21" s="3"/>
    </row>
    <row r="22" spans="2:21" ht="15.75" customHeight="1">
      <c r="B22" s="5"/>
      <c r="C22" s="15" t="s">
        <v>33</v>
      </c>
      <c r="D22" s="13">
        <v>75</v>
      </c>
      <c r="E22" s="8">
        <v>1</v>
      </c>
      <c r="F22" s="13">
        <v>48.9</v>
      </c>
      <c r="G22" s="8">
        <f t="shared" si="2"/>
        <v>75</v>
      </c>
      <c r="H22" s="8">
        <f t="shared" si="0"/>
        <v>3.2803992567592379</v>
      </c>
      <c r="I22" s="10">
        <v>270</v>
      </c>
      <c r="J22" s="8">
        <f t="shared" si="1"/>
        <v>1.2149626876886066E-2</v>
      </c>
      <c r="K22" s="9" t="s">
        <v>37</v>
      </c>
      <c r="L22" s="11">
        <v>5.8218192999999998E-8</v>
      </c>
      <c r="M22" s="11">
        <f t="shared" si="3"/>
        <v>2.135152228275E-4</v>
      </c>
      <c r="N22" s="11">
        <f t="shared" si="4"/>
        <v>4.4870362345407495E-3</v>
      </c>
      <c r="O22" s="9">
        <f>$O$7</f>
        <v>680.93999999999994</v>
      </c>
      <c r="P22" s="3"/>
      <c r="Q22" s="3"/>
    </row>
    <row r="23" spans="2:21" ht="15.75" customHeight="1">
      <c r="B23" s="5"/>
      <c r="C23" s="15" t="s">
        <v>34</v>
      </c>
      <c r="D23" s="14">
        <v>75</v>
      </c>
      <c r="E23" s="8">
        <v>1</v>
      </c>
      <c r="F23" s="13">
        <v>56.83</v>
      </c>
      <c r="G23" s="8">
        <f t="shared" si="2"/>
        <v>75</v>
      </c>
      <c r="H23" s="8">
        <f t="shared" si="0"/>
        <v>3.2803992567592379</v>
      </c>
      <c r="I23" s="10">
        <v>270</v>
      </c>
      <c r="J23" s="8">
        <f t="shared" si="1"/>
        <v>1.2149626876886066E-2</v>
      </c>
      <c r="K23" s="9" t="s">
        <v>37</v>
      </c>
      <c r="L23" s="11">
        <v>5.8218192999999998E-8</v>
      </c>
      <c r="M23" s="11">
        <f t="shared" si="3"/>
        <v>2.4814049311425E-4</v>
      </c>
      <c r="N23" s="11">
        <f t="shared" si="4"/>
        <v>4.7351767276549994E-3</v>
      </c>
      <c r="O23" s="9">
        <f>$O$7</f>
        <v>680.93999999999994</v>
      </c>
      <c r="P23" s="3"/>
      <c r="Q23" s="3"/>
    </row>
    <row r="24" spans="2:21" ht="15.75" customHeight="1">
      <c r="B24" s="6"/>
      <c r="C24" s="15" t="s">
        <v>35</v>
      </c>
      <c r="D24" s="13">
        <v>75</v>
      </c>
      <c r="E24" s="8">
        <v>1</v>
      </c>
      <c r="F24" s="13">
        <v>55.71</v>
      </c>
      <c r="G24" s="8">
        <f t="shared" si="2"/>
        <v>75</v>
      </c>
      <c r="H24" s="8">
        <f t="shared" si="0"/>
        <v>3.2803992567592379</v>
      </c>
      <c r="I24" s="10">
        <v>270</v>
      </c>
      <c r="J24" s="8">
        <f t="shared" si="1"/>
        <v>1.2149626876886066E-2</v>
      </c>
      <c r="K24" s="9" t="s">
        <v>37</v>
      </c>
      <c r="L24" s="11">
        <v>5.8218192999999998E-8</v>
      </c>
      <c r="M24" s="11">
        <f t="shared" si="3"/>
        <v>2.4325016490224998E-4</v>
      </c>
      <c r="N24" s="11">
        <f t="shared" si="4"/>
        <v>4.9784268925572497E-3</v>
      </c>
      <c r="O24" s="9">
        <f>$O$7</f>
        <v>680.93999999999994</v>
      </c>
      <c r="P24" s="7"/>
      <c r="Q24" s="7"/>
    </row>
    <row r="25" spans="2:21" ht="15.75" customHeight="1">
      <c r="B25" s="3"/>
    </row>
    <row r="26" spans="2:21" ht="15.75" customHeight="1">
      <c r="B26" s="3"/>
      <c r="D26" s="16"/>
      <c r="F26" s="2"/>
      <c r="I26" s="17"/>
      <c r="P26" s="2"/>
      <c r="Q26" s="2"/>
      <c r="R26" s="18"/>
      <c r="S26" s="2"/>
      <c r="T26" s="3"/>
      <c r="U26" s="3"/>
    </row>
    <row r="27" spans="2:21" ht="14.4"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</row>
    <row r="28" spans="2:21" ht="15" thickBot="1">
      <c r="B28" s="3"/>
      <c r="C28" s="3" t="s">
        <v>39</v>
      </c>
      <c r="D28" s="3"/>
      <c r="E28" s="3"/>
      <c r="F28" s="5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2:21" ht="14.4">
      <c r="B29" s="3"/>
      <c r="C29" s="19" t="s">
        <v>36</v>
      </c>
      <c r="D29" s="20" t="s">
        <v>0</v>
      </c>
      <c r="E29" s="20" t="s">
        <v>1</v>
      </c>
      <c r="F29" s="20" t="s">
        <v>2</v>
      </c>
      <c r="G29" s="20" t="s">
        <v>3</v>
      </c>
      <c r="H29" s="20" t="s">
        <v>4</v>
      </c>
      <c r="I29" s="20" t="s">
        <v>5</v>
      </c>
      <c r="J29" s="20" t="s">
        <v>6</v>
      </c>
      <c r="K29" s="20" t="s">
        <v>7</v>
      </c>
      <c r="L29" s="20" t="s">
        <v>8</v>
      </c>
      <c r="M29" s="20" t="s">
        <v>9</v>
      </c>
      <c r="N29" s="20" t="s">
        <v>10</v>
      </c>
      <c r="O29" s="20" t="s">
        <v>11</v>
      </c>
      <c r="P29" s="20" t="s">
        <v>12</v>
      </c>
      <c r="Q29" s="21" t="s">
        <v>13</v>
      </c>
      <c r="R29" s="22" t="s">
        <v>14</v>
      </c>
      <c r="S29" s="23" t="s">
        <v>15</v>
      </c>
      <c r="T29" s="3"/>
      <c r="U29" s="3"/>
    </row>
    <row r="30" spans="2:21" ht="14.4">
      <c r="B30" s="3"/>
      <c r="C30" s="15" t="s">
        <v>16</v>
      </c>
      <c r="D30" s="14">
        <v>85</v>
      </c>
      <c r="E30" s="8">
        <v>1</v>
      </c>
      <c r="F30" s="13">
        <v>50.42</v>
      </c>
      <c r="G30" s="8">
        <f t="shared" ref="G30:G47" si="5">+D30*E30</f>
        <v>85</v>
      </c>
      <c r="H30" s="8">
        <f t="shared" ref="H30:H47" si="6">G30/(SQRT(3)*13.2)</f>
        <v>3.717785824327136</v>
      </c>
      <c r="I30" s="10">
        <v>190</v>
      </c>
      <c r="J30" s="8">
        <f t="shared" ref="J30:J47" si="7">+H30/I30</f>
        <v>1.9567293812248084E-2</v>
      </c>
      <c r="K30" s="24" t="s">
        <v>38</v>
      </c>
      <c r="L30" s="11">
        <v>1.8765680000000001E-7</v>
      </c>
      <c r="M30" s="11">
        <f>F30*G30*L30</f>
        <v>8.0424074775999998E-4</v>
      </c>
      <c r="N30" s="11">
        <f>M30</f>
        <v>8.0424074775999998E-4</v>
      </c>
      <c r="O30" s="9">
        <v>594</v>
      </c>
      <c r="P30" s="9">
        <v>6</v>
      </c>
      <c r="Q30" s="9">
        <v>4560</v>
      </c>
      <c r="R30" s="12">
        <f>+O30/Q30</f>
        <v>0.13026315789473683</v>
      </c>
      <c r="S30" s="9" t="s">
        <v>40</v>
      </c>
      <c r="T30" s="3"/>
      <c r="U30" s="3"/>
    </row>
    <row r="31" spans="2:21" ht="13.2">
      <c r="C31" s="15" t="s">
        <v>17</v>
      </c>
      <c r="D31" s="13">
        <v>75</v>
      </c>
      <c r="E31" s="8">
        <v>1</v>
      </c>
      <c r="F31" s="13">
        <v>48.9</v>
      </c>
      <c r="G31" s="8">
        <f t="shared" si="5"/>
        <v>75</v>
      </c>
      <c r="H31" s="8">
        <f t="shared" si="6"/>
        <v>3.2803992567592379</v>
      </c>
      <c r="I31" s="10">
        <v>190</v>
      </c>
      <c r="J31" s="8">
        <f t="shared" si="7"/>
        <v>1.7265259246101252E-2</v>
      </c>
      <c r="K31" s="25" t="s">
        <v>38</v>
      </c>
      <c r="L31" s="11">
        <v>1.8765680000000001E-7</v>
      </c>
      <c r="M31" s="11">
        <f t="shared" ref="M31:M47" si="8">F31*G31*L31</f>
        <v>6.8823131400000002E-4</v>
      </c>
      <c r="N31" s="11">
        <f t="shared" ref="N31:N47" si="9">M31+N30</f>
        <v>1.49247206176E-3</v>
      </c>
      <c r="O31" s="9">
        <v>594</v>
      </c>
      <c r="P31" s="9">
        <v>6</v>
      </c>
      <c r="Q31" s="9">
        <v>4560</v>
      </c>
      <c r="R31" s="12">
        <f t="shared" ref="R31:R47" si="10">+O31/Q31</f>
        <v>0.13026315789473683</v>
      </c>
      <c r="S31" s="9" t="s">
        <v>40</v>
      </c>
    </row>
    <row r="32" spans="2:21" ht="15.75" customHeight="1">
      <c r="C32" s="15" t="s">
        <v>18</v>
      </c>
      <c r="D32" s="14">
        <v>75</v>
      </c>
      <c r="E32" s="8">
        <v>1</v>
      </c>
      <c r="F32" s="13">
        <v>62.05</v>
      </c>
      <c r="G32" s="8">
        <f t="shared" si="5"/>
        <v>75</v>
      </c>
      <c r="H32" s="8">
        <f t="shared" si="6"/>
        <v>3.2803992567592379</v>
      </c>
      <c r="I32" s="10">
        <v>190</v>
      </c>
      <c r="J32" s="8">
        <f t="shared" si="7"/>
        <v>1.7265259246101252E-2</v>
      </c>
      <c r="K32" s="24" t="s">
        <v>38</v>
      </c>
      <c r="L32" s="11">
        <v>1.8765680000000001E-7</v>
      </c>
      <c r="M32" s="11">
        <f t="shared" si="8"/>
        <v>8.7330783300000007E-4</v>
      </c>
      <c r="N32" s="11">
        <f t="shared" si="9"/>
        <v>2.3657798947600002E-3</v>
      </c>
      <c r="O32" s="9">
        <v>594</v>
      </c>
      <c r="P32" s="9">
        <v>6</v>
      </c>
      <c r="Q32" s="9">
        <v>4560</v>
      </c>
      <c r="R32" s="12">
        <f t="shared" si="10"/>
        <v>0.13026315789473683</v>
      </c>
      <c r="S32" s="9" t="s">
        <v>40</v>
      </c>
    </row>
    <row r="33" spans="3:19" ht="15.75" customHeight="1">
      <c r="C33" s="15" t="s">
        <v>19</v>
      </c>
      <c r="D33" s="13">
        <v>75</v>
      </c>
      <c r="E33" s="8">
        <v>1</v>
      </c>
      <c r="F33" s="13">
        <v>38.97</v>
      </c>
      <c r="G33" s="8">
        <f t="shared" si="5"/>
        <v>75</v>
      </c>
      <c r="H33" s="8">
        <f t="shared" si="6"/>
        <v>3.2803992567592379</v>
      </c>
      <c r="I33" s="10">
        <v>190</v>
      </c>
      <c r="J33" s="8">
        <f t="shared" si="7"/>
        <v>1.7265259246101252E-2</v>
      </c>
      <c r="K33" s="24" t="s">
        <v>38</v>
      </c>
      <c r="L33" s="11">
        <v>1.8765680000000001E-7</v>
      </c>
      <c r="M33" s="11">
        <f t="shared" si="8"/>
        <v>5.4847391220000006E-4</v>
      </c>
      <c r="N33" s="11">
        <f t="shared" si="9"/>
        <v>2.91425380696E-3</v>
      </c>
      <c r="O33" s="9">
        <v>594</v>
      </c>
      <c r="P33" s="9">
        <v>6</v>
      </c>
      <c r="Q33" s="9">
        <v>4560</v>
      </c>
      <c r="R33" s="12">
        <f t="shared" si="10"/>
        <v>0.13026315789473683</v>
      </c>
      <c r="S33" s="9" t="s">
        <v>40</v>
      </c>
    </row>
    <row r="34" spans="3:19" ht="15.75" customHeight="1">
      <c r="C34" s="15" t="s">
        <v>20</v>
      </c>
      <c r="D34" s="14">
        <v>50</v>
      </c>
      <c r="E34" s="8">
        <v>1</v>
      </c>
      <c r="F34" s="13">
        <v>64.05</v>
      </c>
      <c r="G34" s="8">
        <f t="shared" si="5"/>
        <v>50</v>
      </c>
      <c r="H34" s="8">
        <f t="shared" si="6"/>
        <v>2.1869328378394917</v>
      </c>
      <c r="I34" s="10">
        <v>190</v>
      </c>
      <c r="J34" s="8">
        <f t="shared" si="7"/>
        <v>1.1510172830734166E-2</v>
      </c>
      <c r="K34" s="24" t="s">
        <v>38</v>
      </c>
      <c r="L34" s="11">
        <v>1.8765680000000001E-7</v>
      </c>
      <c r="M34" s="11">
        <f t="shared" si="8"/>
        <v>6.0097090200000002E-4</v>
      </c>
      <c r="N34" s="11">
        <f t="shared" si="9"/>
        <v>3.51522470896E-3</v>
      </c>
      <c r="O34" s="9">
        <v>594</v>
      </c>
      <c r="P34" s="9">
        <v>6</v>
      </c>
      <c r="Q34" s="9">
        <v>4560</v>
      </c>
      <c r="R34" s="12">
        <f t="shared" si="10"/>
        <v>0.13026315789473683</v>
      </c>
      <c r="S34" s="9" t="s">
        <v>40</v>
      </c>
    </row>
    <row r="35" spans="3:19" ht="15.75" customHeight="1">
      <c r="C35" s="15" t="s">
        <v>21</v>
      </c>
      <c r="D35" s="13">
        <v>50</v>
      </c>
      <c r="E35" s="8">
        <v>1</v>
      </c>
      <c r="F35" s="13">
        <v>54.34</v>
      </c>
      <c r="G35" s="8">
        <f t="shared" si="5"/>
        <v>50</v>
      </c>
      <c r="H35" s="8">
        <f t="shared" si="6"/>
        <v>2.1869328378394917</v>
      </c>
      <c r="I35" s="10">
        <v>190</v>
      </c>
      <c r="J35" s="8">
        <f t="shared" si="7"/>
        <v>1.1510172830734166E-2</v>
      </c>
      <c r="K35" s="24" t="s">
        <v>38</v>
      </c>
      <c r="L35" s="11">
        <v>1.8765680000000001E-7</v>
      </c>
      <c r="M35" s="11">
        <f t="shared" si="8"/>
        <v>5.0986352559999999E-4</v>
      </c>
      <c r="N35" s="11">
        <f t="shared" si="9"/>
        <v>4.0250882345600003E-3</v>
      </c>
      <c r="O35" s="9">
        <v>594</v>
      </c>
      <c r="P35" s="9">
        <v>6</v>
      </c>
      <c r="Q35" s="9">
        <v>4560</v>
      </c>
      <c r="R35" s="12">
        <f t="shared" si="10"/>
        <v>0.13026315789473683</v>
      </c>
      <c r="S35" s="9" t="s">
        <v>40</v>
      </c>
    </row>
    <row r="36" spans="3:19" ht="15.75" customHeight="1">
      <c r="C36" s="15" t="s">
        <v>22</v>
      </c>
      <c r="D36" s="14">
        <v>50</v>
      </c>
      <c r="E36" s="8">
        <v>1</v>
      </c>
      <c r="F36" s="13">
        <v>65.209999999999994</v>
      </c>
      <c r="G36" s="8">
        <f t="shared" si="5"/>
        <v>50</v>
      </c>
      <c r="H36" s="8">
        <f t="shared" si="6"/>
        <v>2.1869328378394917</v>
      </c>
      <c r="I36" s="10">
        <v>190</v>
      </c>
      <c r="J36" s="8">
        <f t="shared" si="7"/>
        <v>1.1510172830734166E-2</v>
      </c>
      <c r="K36" s="24" t="s">
        <v>38</v>
      </c>
      <c r="L36" s="11">
        <v>1.8765680000000001E-7</v>
      </c>
      <c r="M36" s="11">
        <f t="shared" si="8"/>
        <v>6.1185499639999994E-4</v>
      </c>
      <c r="N36" s="11">
        <f t="shared" si="9"/>
        <v>4.6369432309600004E-3</v>
      </c>
      <c r="O36" s="9">
        <v>594</v>
      </c>
      <c r="P36" s="9">
        <v>6</v>
      </c>
      <c r="Q36" s="9">
        <v>4560</v>
      </c>
      <c r="R36" s="12">
        <f t="shared" si="10"/>
        <v>0.13026315789473683</v>
      </c>
      <c r="S36" s="9" t="s">
        <v>40</v>
      </c>
    </row>
    <row r="37" spans="3:19" ht="15.75" customHeight="1">
      <c r="C37" s="15" t="s">
        <v>23</v>
      </c>
      <c r="D37" s="13">
        <v>90</v>
      </c>
      <c r="E37" s="8">
        <v>1</v>
      </c>
      <c r="F37" s="13">
        <v>56.68</v>
      </c>
      <c r="G37" s="8">
        <f t="shared" si="5"/>
        <v>90</v>
      </c>
      <c r="H37" s="8">
        <f t="shared" si="6"/>
        <v>3.9364791081110853</v>
      </c>
      <c r="I37" s="10">
        <v>190</v>
      </c>
      <c r="J37" s="8">
        <f t="shared" si="7"/>
        <v>2.07183110953215E-2</v>
      </c>
      <c r="K37" s="24" t="s">
        <v>38</v>
      </c>
      <c r="L37" s="11">
        <v>1.8765680000000001E-7</v>
      </c>
      <c r="M37" s="11">
        <f t="shared" si="8"/>
        <v>9.5727486815999998E-4</v>
      </c>
      <c r="N37" s="11">
        <f t="shared" si="9"/>
        <v>5.5942180991200002E-3</v>
      </c>
      <c r="O37" s="9">
        <v>594</v>
      </c>
      <c r="P37" s="9">
        <v>6</v>
      </c>
      <c r="Q37" s="9">
        <v>4560</v>
      </c>
      <c r="R37" s="12">
        <f t="shared" si="10"/>
        <v>0.13026315789473683</v>
      </c>
      <c r="S37" s="9" t="s">
        <v>40</v>
      </c>
    </row>
    <row r="38" spans="3:19" ht="15.75" customHeight="1">
      <c r="C38" s="15" t="s">
        <v>24</v>
      </c>
      <c r="D38" s="14">
        <v>150</v>
      </c>
      <c r="E38" s="8">
        <v>1</v>
      </c>
      <c r="F38" s="13">
        <v>64.38</v>
      </c>
      <c r="G38" s="8">
        <f t="shared" si="5"/>
        <v>150</v>
      </c>
      <c r="H38" s="8">
        <f t="shared" si="6"/>
        <v>6.5607985135184759</v>
      </c>
      <c r="I38" s="10">
        <v>190</v>
      </c>
      <c r="J38" s="8">
        <f t="shared" si="7"/>
        <v>3.4530518492202504E-2</v>
      </c>
      <c r="K38" s="24" t="s">
        <v>38</v>
      </c>
      <c r="L38" s="11">
        <v>1.8765680000000001E-7</v>
      </c>
      <c r="M38" s="11">
        <f t="shared" si="8"/>
        <v>1.8122017176000001E-3</v>
      </c>
      <c r="N38" s="11">
        <f t="shared" si="9"/>
        <v>7.4064198167199998E-3</v>
      </c>
      <c r="O38" s="9">
        <v>594</v>
      </c>
      <c r="P38" s="9">
        <v>6</v>
      </c>
      <c r="Q38" s="9">
        <v>4560</v>
      </c>
      <c r="R38" s="12">
        <f t="shared" si="10"/>
        <v>0.13026315789473683</v>
      </c>
      <c r="S38" s="9" t="s">
        <v>40</v>
      </c>
    </row>
    <row r="39" spans="3:19" ht="15.75" customHeight="1">
      <c r="C39" s="15" t="s">
        <v>25</v>
      </c>
      <c r="D39" s="13">
        <v>150</v>
      </c>
      <c r="E39" s="8">
        <v>1</v>
      </c>
      <c r="F39" s="13">
        <v>57</v>
      </c>
      <c r="G39" s="8">
        <f t="shared" si="5"/>
        <v>150</v>
      </c>
      <c r="H39" s="8">
        <f t="shared" si="6"/>
        <v>6.5607985135184759</v>
      </c>
      <c r="I39" s="10">
        <v>190</v>
      </c>
      <c r="J39" s="8">
        <f t="shared" si="7"/>
        <v>3.4530518492202504E-2</v>
      </c>
      <c r="K39" s="24" t="s">
        <v>38</v>
      </c>
      <c r="L39" s="11">
        <v>1.8765680000000001E-7</v>
      </c>
      <c r="M39" s="11">
        <f t="shared" si="8"/>
        <v>1.6044656400000001E-3</v>
      </c>
      <c r="N39" s="11">
        <f t="shared" si="9"/>
        <v>9.0108854567200001E-3</v>
      </c>
      <c r="O39" s="9">
        <v>594</v>
      </c>
      <c r="P39" s="9">
        <v>6</v>
      </c>
      <c r="Q39" s="9">
        <v>4560</v>
      </c>
      <c r="R39" s="12">
        <f t="shared" si="10"/>
        <v>0.13026315789473683</v>
      </c>
      <c r="S39" s="9" t="s">
        <v>40</v>
      </c>
    </row>
    <row r="40" spans="3:19" ht="15.75" customHeight="1">
      <c r="C40" s="15" t="s">
        <v>26</v>
      </c>
      <c r="D40" s="14">
        <v>75</v>
      </c>
      <c r="E40" s="8">
        <v>1</v>
      </c>
      <c r="F40" s="13">
        <v>48.32</v>
      </c>
      <c r="G40" s="8">
        <f t="shared" si="5"/>
        <v>75</v>
      </c>
      <c r="H40" s="8">
        <f t="shared" si="6"/>
        <v>3.2803992567592379</v>
      </c>
      <c r="I40" s="10">
        <v>190</v>
      </c>
      <c r="J40" s="8">
        <f t="shared" si="7"/>
        <v>1.7265259246101252E-2</v>
      </c>
      <c r="K40" s="24" t="s">
        <v>38</v>
      </c>
      <c r="L40" s="11">
        <v>1.8765680000000001E-7</v>
      </c>
      <c r="M40" s="11">
        <f t="shared" si="8"/>
        <v>6.800682432E-4</v>
      </c>
      <c r="N40" s="11">
        <f t="shared" si="9"/>
        <v>9.6909536999200008E-3</v>
      </c>
      <c r="O40" s="9">
        <v>594</v>
      </c>
      <c r="P40" s="9">
        <v>6</v>
      </c>
      <c r="Q40" s="9">
        <v>4560</v>
      </c>
      <c r="R40" s="12">
        <f t="shared" si="10"/>
        <v>0.13026315789473683</v>
      </c>
      <c r="S40" s="9" t="s">
        <v>40</v>
      </c>
    </row>
    <row r="41" spans="3:19" ht="15.75" customHeight="1">
      <c r="C41" s="15" t="s">
        <v>27</v>
      </c>
      <c r="D41" s="13">
        <v>75</v>
      </c>
      <c r="E41" s="8">
        <v>1</v>
      </c>
      <c r="F41" s="13">
        <v>45.88</v>
      </c>
      <c r="G41" s="8">
        <f t="shared" si="5"/>
        <v>75</v>
      </c>
      <c r="H41" s="8">
        <f t="shared" si="6"/>
        <v>3.2803992567592379</v>
      </c>
      <c r="I41" s="10">
        <v>190</v>
      </c>
      <c r="J41" s="8">
        <f t="shared" si="7"/>
        <v>1.7265259246101252E-2</v>
      </c>
      <c r="K41" s="24" t="s">
        <v>38</v>
      </c>
      <c r="L41" s="11">
        <v>1.8765680000000001E-7</v>
      </c>
      <c r="M41" s="11">
        <f t="shared" si="8"/>
        <v>6.4572704880000008E-4</v>
      </c>
      <c r="N41" s="11">
        <f t="shared" si="9"/>
        <v>1.033668074872E-2</v>
      </c>
      <c r="O41" s="9">
        <v>594</v>
      </c>
      <c r="P41" s="9">
        <v>6</v>
      </c>
      <c r="Q41" s="9">
        <v>4560</v>
      </c>
      <c r="R41" s="12">
        <f t="shared" si="10"/>
        <v>0.13026315789473683</v>
      </c>
      <c r="S41" s="9" t="s">
        <v>40</v>
      </c>
    </row>
    <row r="42" spans="3:19" ht="15.75" customHeight="1">
      <c r="C42" s="15" t="s">
        <v>28</v>
      </c>
      <c r="D42" s="14">
        <v>75</v>
      </c>
      <c r="E42" s="8">
        <v>1</v>
      </c>
      <c r="F42" s="13">
        <v>47</v>
      </c>
      <c r="G42" s="8">
        <f t="shared" si="5"/>
        <v>75</v>
      </c>
      <c r="H42" s="8">
        <f t="shared" si="6"/>
        <v>3.2803992567592379</v>
      </c>
      <c r="I42" s="10">
        <v>190</v>
      </c>
      <c r="J42" s="8">
        <f t="shared" si="7"/>
        <v>1.7265259246101252E-2</v>
      </c>
      <c r="K42" s="24" t="s">
        <v>38</v>
      </c>
      <c r="L42" s="11">
        <v>1.8765680000000001E-7</v>
      </c>
      <c r="M42" s="11">
        <f t="shared" si="8"/>
        <v>6.6149022000000003E-4</v>
      </c>
      <c r="N42" s="11">
        <f t="shared" si="9"/>
        <v>1.099817096872E-2</v>
      </c>
      <c r="O42" s="9">
        <v>594</v>
      </c>
      <c r="P42" s="9">
        <v>6</v>
      </c>
      <c r="Q42" s="9">
        <v>4560</v>
      </c>
      <c r="R42" s="12">
        <f t="shared" si="10"/>
        <v>0.13026315789473683</v>
      </c>
      <c r="S42" s="9" t="s">
        <v>40</v>
      </c>
    </row>
    <row r="43" spans="3:19" ht="15.75" customHeight="1">
      <c r="C43" s="15" t="s">
        <v>29</v>
      </c>
      <c r="D43" s="13">
        <v>125</v>
      </c>
      <c r="E43" s="8">
        <v>1</v>
      </c>
      <c r="F43" s="13">
        <v>70</v>
      </c>
      <c r="G43" s="8">
        <f t="shared" si="5"/>
        <v>125</v>
      </c>
      <c r="H43" s="8">
        <f t="shared" si="6"/>
        <v>5.4673320945987296</v>
      </c>
      <c r="I43" s="10">
        <v>190</v>
      </c>
      <c r="J43" s="8">
        <f t="shared" si="7"/>
        <v>2.877543207683542E-2</v>
      </c>
      <c r="K43" s="24" t="s">
        <v>38</v>
      </c>
      <c r="L43" s="11">
        <v>1.8765680000000001E-7</v>
      </c>
      <c r="M43" s="11">
        <f t="shared" si="8"/>
        <v>1.6419970000000001E-3</v>
      </c>
      <c r="N43" s="11">
        <f t="shared" si="9"/>
        <v>1.2640167968720001E-2</v>
      </c>
      <c r="O43" s="9">
        <v>594</v>
      </c>
      <c r="P43" s="9">
        <v>6</v>
      </c>
      <c r="Q43" s="9">
        <v>4560</v>
      </c>
      <c r="R43" s="12">
        <f t="shared" si="10"/>
        <v>0.13026315789473683</v>
      </c>
      <c r="S43" s="9" t="s">
        <v>40</v>
      </c>
    </row>
    <row r="44" spans="3:19" ht="15.75" customHeight="1">
      <c r="C44" s="15" t="s">
        <v>30</v>
      </c>
      <c r="D44" s="14">
        <v>75</v>
      </c>
      <c r="E44" s="8">
        <v>1</v>
      </c>
      <c r="F44" s="13">
        <v>76</v>
      </c>
      <c r="G44" s="8">
        <f t="shared" si="5"/>
        <v>75</v>
      </c>
      <c r="H44" s="8">
        <f t="shared" si="6"/>
        <v>3.2803992567592379</v>
      </c>
      <c r="I44" s="10">
        <v>190</v>
      </c>
      <c r="J44" s="8">
        <f t="shared" si="7"/>
        <v>1.7265259246101252E-2</v>
      </c>
      <c r="K44" s="24" t="s">
        <v>38</v>
      </c>
      <c r="L44" s="11">
        <v>1.8765680000000001E-7</v>
      </c>
      <c r="M44" s="11">
        <f t="shared" si="8"/>
        <v>1.0696437600000001E-3</v>
      </c>
      <c r="N44" s="11">
        <f t="shared" si="9"/>
        <v>1.3709811728720002E-2</v>
      </c>
      <c r="O44" s="9">
        <v>594</v>
      </c>
      <c r="P44" s="9">
        <v>6</v>
      </c>
      <c r="Q44" s="9">
        <v>4560</v>
      </c>
      <c r="R44" s="12">
        <f t="shared" si="10"/>
        <v>0.13026315789473683</v>
      </c>
      <c r="S44" s="9" t="s">
        <v>40</v>
      </c>
    </row>
    <row r="45" spans="3:19" ht="15.75" customHeight="1">
      <c r="C45" s="15" t="s">
        <v>31</v>
      </c>
      <c r="D45" s="13">
        <v>75</v>
      </c>
      <c r="E45" s="8">
        <v>1</v>
      </c>
      <c r="F45" s="13">
        <v>48.91</v>
      </c>
      <c r="G45" s="8">
        <f t="shared" si="5"/>
        <v>75</v>
      </c>
      <c r="H45" s="8">
        <f t="shared" si="6"/>
        <v>3.2803992567592379</v>
      </c>
      <c r="I45" s="10">
        <v>190</v>
      </c>
      <c r="J45" s="8">
        <f t="shared" si="7"/>
        <v>1.7265259246101252E-2</v>
      </c>
      <c r="K45" s="24" t="s">
        <v>38</v>
      </c>
      <c r="L45" s="11">
        <v>1.8765680000000001E-7</v>
      </c>
      <c r="M45" s="11">
        <f t="shared" si="8"/>
        <v>6.883720566E-4</v>
      </c>
      <c r="N45" s="11">
        <f t="shared" si="9"/>
        <v>1.4398183785320002E-2</v>
      </c>
      <c r="O45" s="9">
        <v>594</v>
      </c>
      <c r="P45" s="9">
        <v>6</v>
      </c>
      <c r="Q45" s="9">
        <v>4560</v>
      </c>
      <c r="R45" s="12">
        <f t="shared" si="10"/>
        <v>0.13026315789473683</v>
      </c>
      <c r="S45" s="9" t="s">
        <v>40</v>
      </c>
    </row>
    <row r="46" spans="3:19" ht="15.75" customHeight="1">
      <c r="C46" s="15" t="s">
        <v>32</v>
      </c>
      <c r="D46" s="14">
        <v>75</v>
      </c>
      <c r="E46" s="8">
        <v>1</v>
      </c>
      <c r="F46" s="13">
        <v>56.83</v>
      </c>
      <c r="G46" s="8">
        <f t="shared" si="5"/>
        <v>75</v>
      </c>
      <c r="H46" s="8">
        <f t="shared" si="6"/>
        <v>3.2803992567592379</v>
      </c>
      <c r="I46" s="10">
        <v>190</v>
      </c>
      <c r="J46" s="8">
        <f t="shared" si="7"/>
        <v>1.7265259246101252E-2</v>
      </c>
      <c r="K46" s="24" t="s">
        <v>38</v>
      </c>
      <c r="L46" s="11">
        <v>1.8765680000000001E-7</v>
      </c>
      <c r="M46" s="11">
        <f t="shared" si="8"/>
        <v>7.9984019580000003E-4</v>
      </c>
      <c r="N46" s="11">
        <f t="shared" si="9"/>
        <v>1.5198023981120003E-2</v>
      </c>
      <c r="O46" s="9">
        <v>594</v>
      </c>
      <c r="P46" s="9">
        <v>6</v>
      </c>
      <c r="Q46" s="9">
        <v>4560</v>
      </c>
      <c r="R46" s="12">
        <f t="shared" si="10"/>
        <v>0.13026315789473683</v>
      </c>
      <c r="S46" s="9" t="s">
        <v>40</v>
      </c>
    </row>
    <row r="47" spans="3:19" ht="15.75" customHeight="1">
      <c r="C47" s="15" t="s">
        <v>33</v>
      </c>
      <c r="D47" s="13">
        <v>75</v>
      </c>
      <c r="E47" s="8">
        <v>1</v>
      </c>
      <c r="F47" s="13">
        <v>55</v>
      </c>
      <c r="G47" s="8">
        <f t="shared" si="5"/>
        <v>75</v>
      </c>
      <c r="H47" s="8">
        <f t="shared" si="6"/>
        <v>3.2803992567592379</v>
      </c>
      <c r="I47" s="10">
        <v>190</v>
      </c>
      <c r="J47" s="8">
        <f t="shared" si="7"/>
        <v>1.7265259246101252E-2</v>
      </c>
      <c r="K47" s="24" t="s">
        <v>38</v>
      </c>
      <c r="L47" s="11">
        <v>1.8765680000000001E-7</v>
      </c>
      <c r="M47" s="11">
        <f t="shared" si="8"/>
        <v>7.7408430000000007E-4</v>
      </c>
      <c r="N47" s="11">
        <f t="shared" si="9"/>
        <v>1.5972108281120001E-2</v>
      </c>
      <c r="O47" s="9">
        <v>594</v>
      </c>
      <c r="P47" s="9">
        <v>6</v>
      </c>
      <c r="Q47" s="9">
        <v>4560</v>
      </c>
      <c r="R47" s="12">
        <f t="shared" si="10"/>
        <v>0.13026315789473683</v>
      </c>
      <c r="S47" s="9" t="s">
        <v>40</v>
      </c>
    </row>
  </sheetData>
  <phoneticPr fontId="9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Aluminio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Rosero</dc:creator>
  <cp:lastModifiedBy>Juan Fernando  Montoya Ortiz</cp:lastModifiedBy>
  <dcterms:created xsi:type="dcterms:W3CDTF">2025-12-11T17:46:29Z</dcterms:created>
  <dcterms:modified xsi:type="dcterms:W3CDTF">2026-06-18T23:26:34Z</dcterms:modified>
</cp:coreProperties>
</file>