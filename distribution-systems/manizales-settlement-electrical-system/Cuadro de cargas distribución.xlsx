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anf\OneDrive\Documentos\Escritorio\Asentamiento Altos de Samaria\"/>
    </mc:Choice>
  </mc:AlternateContent>
  <xr:revisionPtr revIDLastSave="0" documentId="13_ncr:1_{42DFC313-76C7-4FB2-99F8-817BB54FC3AD}" xr6:coauthVersionLast="47" xr6:coauthVersionMax="47" xr10:uidLastSave="{00000000-0000-0000-0000-000000000000}"/>
  <bookViews>
    <workbookView xWindow="-20610" yWindow="1305" windowWidth="20730" windowHeight="11040" xr2:uid="{00000000-000D-0000-FFFF-FFFF00000000}"/>
  </bookViews>
  <sheets>
    <sheet name="T1 (% Reg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mXE/hsBSZeqI7ac0HxguwFNXlTW4J/CEjAg0GseyR58="/>
    </ext>
  </extLst>
</workbook>
</file>

<file path=xl/calcChain.xml><?xml version="1.0" encoding="utf-8"?>
<calcChain xmlns="http://schemas.openxmlformats.org/spreadsheetml/2006/main">
  <c r="R53" i="1" l="1"/>
  <c r="R54" i="1"/>
  <c r="R55" i="1"/>
  <c r="R56" i="1"/>
  <c r="I59" i="1"/>
  <c r="H59" i="1"/>
  <c r="X125" i="1"/>
  <c r="U125" i="1"/>
  <c r="R125" i="1"/>
  <c r="I125" i="1"/>
  <c r="K125" i="1" s="1"/>
  <c r="H125" i="1"/>
  <c r="X124" i="1"/>
  <c r="U124" i="1"/>
  <c r="R124" i="1"/>
  <c r="I124" i="1"/>
  <c r="K124" i="1" s="1"/>
  <c r="H124" i="1"/>
  <c r="X123" i="1"/>
  <c r="U123" i="1"/>
  <c r="R123" i="1"/>
  <c r="I123" i="1"/>
  <c r="K123" i="1" s="1"/>
  <c r="H123" i="1"/>
  <c r="S123" i="1" s="1"/>
  <c r="T123" i="1" s="1"/>
  <c r="X122" i="1"/>
  <c r="U122" i="1"/>
  <c r="R122" i="1"/>
  <c r="I122" i="1"/>
  <c r="K122" i="1" s="1"/>
  <c r="H122" i="1"/>
  <c r="X121" i="1"/>
  <c r="U121" i="1"/>
  <c r="R121" i="1"/>
  <c r="I121" i="1"/>
  <c r="K121" i="1" s="1"/>
  <c r="H121" i="1"/>
  <c r="U120" i="1"/>
  <c r="R120" i="1"/>
  <c r="H120" i="1"/>
  <c r="X120" i="1"/>
  <c r="X119" i="1"/>
  <c r="U119" i="1"/>
  <c r="R119" i="1"/>
  <c r="I119" i="1"/>
  <c r="K119" i="1" s="1"/>
  <c r="H119" i="1"/>
  <c r="X118" i="1"/>
  <c r="U118" i="1"/>
  <c r="R118" i="1"/>
  <c r="I118" i="1"/>
  <c r="K118" i="1" s="1"/>
  <c r="H118" i="1"/>
  <c r="X117" i="1"/>
  <c r="U117" i="1"/>
  <c r="R117" i="1"/>
  <c r="I117" i="1"/>
  <c r="K117" i="1" s="1"/>
  <c r="H117" i="1"/>
  <c r="X116" i="1"/>
  <c r="U116" i="1"/>
  <c r="R116" i="1"/>
  <c r="I116" i="1"/>
  <c r="K116" i="1" s="1"/>
  <c r="H116" i="1"/>
  <c r="X115" i="1"/>
  <c r="U115" i="1"/>
  <c r="R115" i="1"/>
  <c r="I115" i="1"/>
  <c r="K115" i="1" s="1"/>
  <c r="H115" i="1"/>
  <c r="U114" i="1"/>
  <c r="R114" i="1"/>
  <c r="I114" i="1"/>
  <c r="K114" i="1" s="1"/>
  <c r="X113" i="1"/>
  <c r="U113" i="1"/>
  <c r="R113" i="1"/>
  <c r="I113" i="1"/>
  <c r="K113" i="1" s="1"/>
  <c r="H113" i="1"/>
  <c r="X112" i="1"/>
  <c r="U112" i="1"/>
  <c r="R112" i="1"/>
  <c r="I112" i="1"/>
  <c r="K112" i="1" s="1"/>
  <c r="H112" i="1"/>
  <c r="X111" i="1"/>
  <c r="U111" i="1"/>
  <c r="R111" i="1"/>
  <c r="I111" i="1"/>
  <c r="K111" i="1" s="1"/>
  <c r="H111" i="1"/>
  <c r="X110" i="1"/>
  <c r="U110" i="1"/>
  <c r="R110" i="1"/>
  <c r="I110" i="1"/>
  <c r="K110" i="1" s="1"/>
  <c r="H110" i="1"/>
  <c r="S110" i="1" s="1"/>
  <c r="T110" i="1" s="1"/>
  <c r="X109" i="1"/>
  <c r="U109" i="1"/>
  <c r="R109" i="1"/>
  <c r="I109" i="1"/>
  <c r="K109" i="1" s="1"/>
  <c r="H109" i="1"/>
  <c r="X108" i="1"/>
  <c r="U108" i="1"/>
  <c r="R108" i="1"/>
  <c r="I108" i="1"/>
  <c r="K108" i="1" s="1"/>
  <c r="H108" i="1"/>
  <c r="U107" i="1"/>
  <c r="R107" i="1"/>
  <c r="X107" i="1"/>
  <c r="H78" i="1"/>
  <c r="I78" i="1"/>
  <c r="K78" i="1" s="1"/>
  <c r="R78" i="1"/>
  <c r="U78" i="1"/>
  <c r="X78" i="1"/>
  <c r="X106" i="1"/>
  <c r="U106" i="1"/>
  <c r="R106" i="1"/>
  <c r="I106" i="1"/>
  <c r="K106" i="1" s="1"/>
  <c r="H106" i="1"/>
  <c r="X105" i="1"/>
  <c r="U105" i="1"/>
  <c r="R105" i="1"/>
  <c r="I105" i="1"/>
  <c r="K105" i="1" s="1"/>
  <c r="H105" i="1"/>
  <c r="X104" i="1"/>
  <c r="U104" i="1"/>
  <c r="R104" i="1"/>
  <c r="I104" i="1"/>
  <c r="K104" i="1" s="1"/>
  <c r="H104" i="1"/>
  <c r="X103" i="1"/>
  <c r="U103" i="1"/>
  <c r="R103" i="1"/>
  <c r="I103" i="1"/>
  <c r="K103" i="1" s="1"/>
  <c r="H103" i="1"/>
  <c r="X102" i="1"/>
  <c r="U102" i="1"/>
  <c r="R102" i="1"/>
  <c r="I102" i="1"/>
  <c r="K102" i="1" s="1"/>
  <c r="H102" i="1"/>
  <c r="X101" i="1"/>
  <c r="U101" i="1"/>
  <c r="R101" i="1"/>
  <c r="I101" i="1"/>
  <c r="K101" i="1" s="1"/>
  <c r="H101" i="1"/>
  <c r="X100" i="1"/>
  <c r="U100" i="1"/>
  <c r="R100" i="1"/>
  <c r="I100" i="1"/>
  <c r="K100" i="1" s="1"/>
  <c r="H100" i="1"/>
  <c r="X99" i="1"/>
  <c r="U99" i="1"/>
  <c r="R99" i="1"/>
  <c r="I99" i="1"/>
  <c r="K99" i="1" s="1"/>
  <c r="H99" i="1"/>
  <c r="X98" i="1"/>
  <c r="U98" i="1"/>
  <c r="R98" i="1"/>
  <c r="I98" i="1"/>
  <c r="K98" i="1" s="1"/>
  <c r="H98" i="1"/>
  <c r="X97" i="1"/>
  <c r="U97" i="1"/>
  <c r="R97" i="1"/>
  <c r="I97" i="1"/>
  <c r="K97" i="1" s="1"/>
  <c r="H97" i="1"/>
  <c r="X96" i="1"/>
  <c r="U96" i="1"/>
  <c r="R96" i="1"/>
  <c r="I96" i="1"/>
  <c r="K96" i="1" s="1"/>
  <c r="H96" i="1"/>
  <c r="X95" i="1"/>
  <c r="U95" i="1"/>
  <c r="R95" i="1"/>
  <c r="I95" i="1"/>
  <c r="K95" i="1" s="1"/>
  <c r="H95" i="1"/>
  <c r="X94" i="1"/>
  <c r="U94" i="1"/>
  <c r="R94" i="1"/>
  <c r="I94" i="1"/>
  <c r="K94" i="1" s="1"/>
  <c r="H94" i="1"/>
  <c r="X93" i="1"/>
  <c r="U93" i="1"/>
  <c r="R93" i="1"/>
  <c r="I93" i="1"/>
  <c r="K93" i="1" s="1"/>
  <c r="H93" i="1"/>
  <c r="X92" i="1"/>
  <c r="U92" i="1"/>
  <c r="R92" i="1"/>
  <c r="I92" i="1"/>
  <c r="K92" i="1" s="1"/>
  <c r="H92" i="1"/>
  <c r="U91" i="1"/>
  <c r="R91" i="1"/>
  <c r="I91" i="1"/>
  <c r="K91" i="1" s="1"/>
  <c r="X90" i="1"/>
  <c r="U90" i="1"/>
  <c r="R90" i="1"/>
  <c r="I90" i="1"/>
  <c r="K90" i="1" s="1"/>
  <c r="H90" i="1"/>
  <c r="X89" i="1"/>
  <c r="U89" i="1"/>
  <c r="R89" i="1"/>
  <c r="I89" i="1"/>
  <c r="K89" i="1" s="1"/>
  <c r="H89" i="1"/>
  <c r="X88" i="1"/>
  <c r="U88" i="1"/>
  <c r="R88" i="1"/>
  <c r="I88" i="1"/>
  <c r="K88" i="1" s="1"/>
  <c r="H88" i="1"/>
  <c r="X87" i="1"/>
  <c r="U87" i="1"/>
  <c r="R87" i="1"/>
  <c r="I87" i="1"/>
  <c r="K87" i="1" s="1"/>
  <c r="H87" i="1"/>
  <c r="X86" i="1"/>
  <c r="U86" i="1"/>
  <c r="R86" i="1"/>
  <c r="I86" i="1"/>
  <c r="K86" i="1" s="1"/>
  <c r="H86" i="1"/>
  <c r="X85" i="1"/>
  <c r="U85" i="1"/>
  <c r="R85" i="1"/>
  <c r="I85" i="1"/>
  <c r="K85" i="1" s="1"/>
  <c r="H85" i="1"/>
  <c r="X84" i="1"/>
  <c r="U84" i="1"/>
  <c r="R84" i="1"/>
  <c r="I84" i="1"/>
  <c r="K84" i="1" s="1"/>
  <c r="H84" i="1"/>
  <c r="H62" i="1"/>
  <c r="I62" i="1"/>
  <c r="K62" i="1" s="1"/>
  <c r="R62" i="1"/>
  <c r="U62" i="1"/>
  <c r="X62" i="1"/>
  <c r="H33" i="1"/>
  <c r="I33" i="1"/>
  <c r="K33" i="1" s="1"/>
  <c r="R33" i="1"/>
  <c r="U33" i="1"/>
  <c r="X33" i="1"/>
  <c r="S124" i="1" l="1"/>
  <c r="S122" i="1"/>
  <c r="S117" i="1"/>
  <c r="T117" i="1" s="1"/>
  <c r="W117" i="1"/>
  <c r="S125" i="1"/>
  <c r="W116" i="1"/>
  <c r="S120" i="1"/>
  <c r="T120" i="1" s="1"/>
  <c r="W122" i="1"/>
  <c r="W124" i="1"/>
  <c r="S121" i="1"/>
  <c r="T124" i="1"/>
  <c r="T125" i="1" s="1"/>
  <c r="W119" i="1"/>
  <c r="W121" i="1"/>
  <c r="W125" i="1"/>
  <c r="W123" i="1"/>
  <c r="W120" i="1"/>
  <c r="I120" i="1"/>
  <c r="K120" i="1" s="1"/>
  <c r="W118" i="1"/>
  <c r="W112" i="1"/>
  <c r="X114" i="1"/>
  <c r="S115" i="1"/>
  <c r="S119" i="1"/>
  <c r="S118" i="1"/>
  <c r="T118" i="1" s="1"/>
  <c r="S116" i="1"/>
  <c r="W115" i="1"/>
  <c r="H114" i="1"/>
  <c r="W110" i="1"/>
  <c r="S113" i="1"/>
  <c r="T113" i="1" s="1"/>
  <c r="W108" i="1"/>
  <c r="W111" i="1"/>
  <c r="W113" i="1"/>
  <c r="S87" i="1"/>
  <c r="W78" i="1"/>
  <c r="S78" i="1"/>
  <c r="W109" i="1"/>
  <c r="S111" i="1"/>
  <c r="T111" i="1" s="1"/>
  <c r="S108" i="1"/>
  <c r="S112" i="1"/>
  <c r="S109" i="1"/>
  <c r="H107" i="1"/>
  <c r="I107" i="1"/>
  <c r="K107" i="1" s="1"/>
  <c r="W102" i="1"/>
  <c r="S104" i="1"/>
  <c r="T104" i="1" s="1"/>
  <c r="X91" i="1"/>
  <c r="S92" i="1"/>
  <c r="W93" i="1"/>
  <c r="W104" i="1"/>
  <c r="S94" i="1"/>
  <c r="T94" i="1" s="1"/>
  <c r="W105" i="1"/>
  <c r="S89" i="1"/>
  <c r="S98" i="1"/>
  <c r="T98" i="1" s="1"/>
  <c r="W101" i="1"/>
  <c r="W89" i="1"/>
  <c r="S88" i="1"/>
  <c r="T88" i="1" s="1"/>
  <c r="W99" i="1"/>
  <c r="S97" i="1"/>
  <c r="W97" i="1"/>
  <c r="S100" i="1"/>
  <c r="T100" i="1" s="1"/>
  <c r="S105" i="1"/>
  <c r="W100" i="1"/>
  <c r="W92" i="1"/>
  <c r="W87" i="1"/>
  <c r="S103" i="1"/>
  <c r="W90" i="1"/>
  <c r="S93" i="1"/>
  <c r="S101" i="1"/>
  <c r="W103" i="1"/>
  <c r="S86" i="1"/>
  <c r="W98" i="1"/>
  <c r="W95" i="1"/>
  <c r="S84" i="1"/>
  <c r="T84" i="1" s="1"/>
  <c r="W88" i="1"/>
  <c r="W86" i="1"/>
  <c r="W96" i="1"/>
  <c r="W84" i="1"/>
  <c r="W106" i="1"/>
  <c r="W94" i="1"/>
  <c r="S85" i="1"/>
  <c r="W62" i="1"/>
  <c r="W85" i="1"/>
  <c r="S90" i="1"/>
  <c r="S95" i="1"/>
  <c r="S99" i="1"/>
  <c r="S62" i="1"/>
  <c r="S106" i="1"/>
  <c r="S102" i="1"/>
  <c r="S96" i="1"/>
  <c r="H91" i="1"/>
  <c r="W33" i="1"/>
  <c r="S33" i="1"/>
  <c r="I14" i="1"/>
  <c r="H14" i="1"/>
  <c r="H83" i="1"/>
  <c r="X14" i="1"/>
  <c r="U14" i="1"/>
  <c r="X74" i="1"/>
  <c r="U74" i="1"/>
  <c r="R74" i="1"/>
  <c r="I74" i="1"/>
  <c r="K74" i="1" s="1"/>
  <c r="H74" i="1"/>
  <c r="U83" i="1"/>
  <c r="R83" i="1"/>
  <c r="X82" i="1"/>
  <c r="U82" i="1"/>
  <c r="R82" i="1"/>
  <c r="I82" i="1"/>
  <c r="K82" i="1" s="1"/>
  <c r="H82" i="1"/>
  <c r="X81" i="1"/>
  <c r="U81" i="1"/>
  <c r="R81" i="1"/>
  <c r="I81" i="1"/>
  <c r="K81" i="1" s="1"/>
  <c r="H81" i="1"/>
  <c r="X80" i="1"/>
  <c r="U80" i="1"/>
  <c r="R80" i="1"/>
  <c r="I80" i="1"/>
  <c r="K80" i="1" s="1"/>
  <c r="H80" i="1"/>
  <c r="X79" i="1"/>
  <c r="U79" i="1"/>
  <c r="R79" i="1"/>
  <c r="I79" i="1"/>
  <c r="K79" i="1" s="1"/>
  <c r="H79" i="1"/>
  <c r="X77" i="1"/>
  <c r="U77" i="1"/>
  <c r="R77" i="1"/>
  <c r="I77" i="1"/>
  <c r="K77" i="1" s="1"/>
  <c r="H77" i="1"/>
  <c r="X76" i="1"/>
  <c r="U76" i="1"/>
  <c r="R76" i="1"/>
  <c r="I76" i="1"/>
  <c r="K76" i="1" s="1"/>
  <c r="H76" i="1"/>
  <c r="T119" i="1" l="1"/>
  <c r="T121" i="1"/>
  <c r="T122" i="1" s="1"/>
  <c r="S114" i="1"/>
  <c r="T114" i="1" s="1"/>
  <c r="T115" i="1" s="1"/>
  <c r="T116" i="1" s="1"/>
  <c r="W114" i="1"/>
  <c r="T112" i="1"/>
  <c r="T105" i="1"/>
  <c r="T106" i="1" s="1"/>
  <c r="W107" i="1"/>
  <c r="S107" i="1"/>
  <c r="T107" i="1" s="1"/>
  <c r="T108" i="1" s="1"/>
  <c r="T109" i="1" s="1"/>
  <c r="T89" i="1"/>
  <c r="T90" i="1" s="1"/>
  <c r="T95" i="1"/>
  <c r="T96" i="1" s="1"/>
  <c r="T97" i="1" s="1"/>
  <c r="T85" i="1"/>
  <c r="T86" i="1" s="1"/>
  <c r="T87" i="1" s="1"/>
  <c r="T99" i="1"/>
  <c r="T101" i="1"/>
  <c r="T102" i="1" s="1"/>
  <c r="T103" i="1" s="1"/>
  <c r="W91" i="1"/>
  <c r="S91" i="1"/>
  <c r="T91" i="1" s="1"/>
  <c r="X83" i="1"/>
  <c r="I83" i="1"/>
  <c r="K83" i="1" s="1"/>
  <c r="S74" i="1"/>
  <c r="W74" i="1"/>
  <c r="S83" i="1"/>
  <c r="T83" i="1" s="1"/>
  <c r="S80" i="1"/>
  <c r="T80" i="1" s="1"/>
  <c r="W81" i="1"/>
  <c r="S82" i="1"/>
  <c r="S79" i="1"/>
  <c r="S77" i="1"/>
  <c r="W77" i="1"/>
  <c r="W80" i="1"/>
  <c r="S76" i="1"/>
  <c r="T76" i="1" s="1"/>
  <c r="W83" i="1"/>
  <c r="W76" i="1"/>
  <c r="S81" i="1"/>
  <c r="W82" i="1"/>
  <c r="W79" i="1"/>
  <c r="K14" i="1"/>
  <c r="E9" i="1"/>
  <c r="G8" i="1" s="1"/>
  <c r="H56" i="1"/>
  <c r="I56" i="1"/>
  <c r="K56" i="1" s="1"/>
  <c r="U56" i="1"/>
  <c r="X56" i="1"/>
  <c r="R14" i="1"/>
  <c r="X75" i="1"/>
  <c r="U75" i="1"/>
  <c r="R75" i="1"/>
  <c r="I75" i="1"/>
  <c r="K75" i="1" s="1"/>
  <c r="H75" i="1"/>
  <c r="X73" i="1"/>
  <c r="U73" i="1"/>
  <c r="R73" i="1"/>
  <c r="I73" i="1"/>
  <c r="K73" i="1" s="1"/>
  <c r="H73" i="1"/>
  <c r="X72" i="1"/>
  <c r="U72" i="1"/>
  <c r="R72" i="1"/>
  <c r="I72" i="1"/>
  <c r="K72" i="1" s="1"/>
  <c r="H72" i="1"/>
  <c r="X71" i="1"/>
  <c r="U71" i="1"/>
  <c r="R71" i="1"/>
  <c r="I71" i="1"/>
  <c r="K71" i="1" s="1"/>
  <c r="H71" i="1"/>
  <c r="X70" i="1"/>
  <c r="U70" i="1"/>
  <c r="R70" i="1"/>
  <c r="I70" i="1"/>
  <c r="K70" i="1" s="1"/>
  <c r="H70" i="1"/>
  <c r="X69" i="1"/>
  <c r="U69" i="1"/>
  <c r="R69" i="1"/>
  <c r="I69" i="1"/>
  <c r="K69" i="1" s="1"/>
  <c r="H69" i="1"/>
  <c r="X68" i="1"/>
  <c r="U68" i="1"/>
  <c r="R68" i="1"/>
  <c r="I68" i="1"/>
  <c r="K68" i="1" s="1"/>
  <c r="H68" i="1"/>
  <c r="X67" i="1"/>
  <c r="U67" i="1"/>
  <c r="R67" i="1"/>
  <c r="I67" i="1"/>
  <c r="K67" i="1" s="1"/>
  <c r="H67" i="1"/>
  <c r="X66" i="1"/>
  <c r="U66" i="1"/>
  <c r="R66" i="1"/>
  <c r="I66" i="1"/>
  <c r="K66" i="1" s="1"/>
  <c r="H66" i="1"/>
  <c r="X65" i="1"/>
  <c r="U65" i="1"/>
  <c r="R65" i="1"/>
  <c r="I65" i="1"/>
  <c r="K65" i="1" s="1"/>
  <c r="H65" i="1"/>
  <c r="X64" i="1"/>
  <c r="U64" i="1"/>
  <c r="R64" i="1"/>
  <c r="I64" i="1"/>
  <c r="K64" i="1" s="1"/>
  <c r="H64" i="1"/>
  <c r="X63" i="1"/>
  <c r="U63" i="1"/>
  <c r="R63" i="1"/>
  <c r="I63" i="1"/>
  <c r="K63" i="1" s="1"/>
  <c r="H63" i="1"/>
  <c r="X61" i="1"/>
  <c r="U61" i="1"/>
  <c r="R61" i="1"/>
  <c r="I61" i="1"/>
  <c r="K61" i="1" s="1"/>
  <c r="H61" i="1"/>
  <c r="X60" i="1"/>
  <c r="U60" i="1"/>
  <c r="R60" i="1"/>
  <c r="I60" i="1"/>
  <c r="K60" i="1" s="1"/>
  <c r="H60" i="1"/>
  <c r="X59" i="1"/>
  <c r="U59" i="1"/>
  <c r="R59" i="1"/>
  <c r="K59" i="1"/>
  <c r="X58" i="1"/>
  <c r="U58" i="1"/>
  <c r="R58" i="1"/>
  <c r="I58" i="1"/>
  <c r="K58" i="1" s="1"/>
  <c r="H58" i="1"/>
  <c r="X57" i="1"/>
  <c r="U57" i="1"/>
  <c r="R57" i="1"/>
  <c r="I57" i="1"/>
  <c r="K57" i="1" s="1"/>
  <c r="H57" i="1"/>
  <c r="X55" i="1"/>
  <c r="U55" i="1"/>
  <c r="I55" i="1"/>
  <c r="K55" i="1" s="1"/>
  <c r="H55" i="1"/>
  <c r="X54" i="1"/>
  <c r="U54" i="1"/>
  <c r="I54" i="1"/>
  <c r="K54" i="1" s="1"/>
  <c r="H54" i="1"/>
  <c r="X53" i="1"/>
  <c r="U53" i="1"/>
  <c r="I53" i="1"/>
  <c r="K53" i="1" s="1"/>
  <c r="H53" i="1"/>
  <c r="X52" i="1"/>
  <c r="U52" i="1"/>
  <c r="R52" i="1"/>
  <c r="I52" i="1"/>
  <c r="K52" i="1" s="1"/>
  <c r="H52" i="1"/>
  <c r="X51" i="1"/>
  <c r="U51" i="1"/>
  <c r="R51" i="1"/>
  <c r="I51" i="1"/>
  <c r="K51" i="1" s="1"/>
  <c r="H51" i="1"/>
  <c r="X50" i="1"/>
  <c r="U50" i="1"/>
  <c r="R50" i="1"/>
  <c r="I50" i="1"/>
  <c r="K50" i="1" s="1"/>
  <c r="H50" i="1"/>
  <c r="X49" i="1"/>
  <c r="U49" i="1"/>
  <c r="R49" i="1"/>
  <c r="I49" i="1"/>
  <c r="K49" i="1" s="1"/>
  <c r="H49" i="1"/>
  <c r="X48" i="1"/>
  <c r="U48" i="1"/>
  <c r="R48" i="1"/>
  <c r="I48" i="1"/>
  <c r="K48" i="1" s="1"/>
  <c r="H48" i="1"/>
  <c r="X47" i="1"/>
  <c r="U47" i="1"/>
  <c r="R47" i="1"/>
  <c r="I47" i="1"/>
  <c r="K47" i="1" s="1"/>
  <c r="H47" i="1"/>
  <c r="X46" i="1"/>
  <c r="U46" i="1"/>
  <c r="R46" i="1"/>
  <c r="I46" i="1"/>
  <c r="K46" i="1" s="1"/>
  <c r="H46" i="1"/>
  <c r="X45" i="1"/>
  <c r="U45" i="1"/>
  <c r="R45" i="1"/>
  <c r="I45" i="1"/>
  <c r="K45" i="1" s="1"/>
  <c r="H45" i="1"/>
  <c r="X44" i="1"/>
  <c r="U44" i="1"/>
  <c r="R44" i="1"/>
  <c r="I44" i="1"/>
  <c r="K44" i="1" s="1"/>
  <c r="H44" i="1"/>
  <c r="X43" i="1"/>
  <c r="U43" i="1"/>
  <c r="R43" i="1"/>
  <c r="I43" i="1"/>
  <c r="K43" i="1" s="1"/>
  <c r="H43" i="1"/>
  <c r="X42" i="1"/>
  <c r="U42" i="1"/>
  <c r="R42" i="1"/>
  <c r="I42" i="1"/>
  <c r="K42" i="1" s="1"/>
  <c r="H42" i="1"/>
  <c r="X41" i="1"/>
  <c r="U41" i="1"/>
  <c r="R41" i="1"/>
  <c r="I41" i="1"/>
  <c r="K41" i="1" s="1"/>
  <c r="H41" i="1"/>
  <c r="X40" i="1"/>
  <c r="U40" i="1"/>
  <c r="R40" i="1"/>
  <c r="I40" i="1"/>
  <c r="K40" i="1" s="1"/>
  <c r="H40" i="1"/>
  <c r="X39" i="1"/>
  <c r="U39" i="1"/>
  <c r="R39" i="1"/>
  <c r="I39" i="1"/>
  <c r="K39" i="1" s="1"/>
  <c r="H39" i="1"/>
  <c r="X38" i="1"/>
  <c r="U38" i="1"/>
  <c r="R38" i="1"/>
  <c r="I38" i="1"/>
  <c r="K38" i="1" s="1"/>
  <c r="H38" i="1"/>
  <c r="X37" i="1"/>
  <c r="U37" i="1"/>
  <c r="R37" i="1"/>
  <c r="I37" i="1"/>
  <c r="K37" i="1" s="1"/>
  <c r="H37" i="1"/>
  <c r="U36" i="1"/>
  <c r="R36" i="1"/>
  <c r="X35" i="1"/>
  <c r="U35" i="1"/>
  <c r="R35" i="1"/>
  <c r="I35" i="1"/>
  <c r="K35" i="1" s="1"/>
  <c r="H35" i="1"/>
  <c r="X34" i="1"/>
  <c r="U34" i="1"/>
  <c r="R34" i="1"/>
  <c r="I34" i="1"/>
  <c r="K34" i="1" s="1"/>
  <c r="H34" i="1"/>
  <c r="X32" i="1"/>
  <c r="U32" i="1"/>
  <c r="R32" i="1"/>
  <c r="I32" i="1"/>
  <c r="K32" i="1" s="1"/>
  <c r="H32" i="1"/>
  <c r="X31" i="1"/>
  <c r="U31" i="1"/>
  <c r="R31" i="1"/>
  <c r="I31" i="1"/>
  <c r="K31" i="1" s="1"/>
  <c r="H31" i="1"/>
  <c r="X30" i="1"/>
  <c r="U30" i="1"/>
  <c r="R30" i="1"/>
  <c r="I30" i="1"/>
  <c r="K30" i="1" s="1"/>
  <c r="H30" i="1"/>
  <c r="X29" i="1"/>
  <c r="U29" i="1"/>
  <c r="R29" i="1"/>
  <c r="I29" i="1"/>
  <c r="K29" i="1" s="1"/>
  <c r="H29" i="1"/>
  <c r="X28" i="1"/>
  <c r="U28" i="1"/>
  <c r="R28" i="1"/>
  <c r="I28" i="1"/>
  <c r="K28" i="1" s="1"/>
  <c r="H28" i="1"/>
  <c r="X27" i="1"/>
  <c r="U27" i="1"/>
  <c r="R27" i="1"/>
  <c r="I27" i="1"/>
  <c r="K27" i="1" s="1"/>
  <c r="H27" i="1"/>
  <c r="X26" i="1"/>
  <c r="U26" i="1"/>
  <c r="R26" i="1"/>
  <c r="I26" i="1"/>
  <c r="K26" i="1" s="1"/>
  <c r="H26" i="1"/>
  <c r="X25" i="1"/>
  <c r="U25" i="1"/>
  <c r="R25" i="1"/>
  <c r="I25" i="1"/>
  <c r="K25" i="1" s="1"/>
  <c r="H25" i="1"/>
  <c r="X24" i="1"/>
  <c r="U24" i="1"/>
  <c r="R24" i="1"/>
  <c r="I24" i="1"/>
  <c r="K24" i="1" s="1"/>
  <c r="H24" i="1"/>
  <c r="X23" i="1"/>
  <c r="U23" i="1"/>
  <c r="R23" i="1"/>
  <c r="I23" i="1"/>
  <c r="K23" i="1" s="1"/>
  <c r="H23" i="1"/>
  <c r="X22" i="1"/>
  <c r="U22" i="1"/>
  <c r="R22" i="1"/>
  <c r="I22" i="1"/>
  <c r="K22" i="1" s="1"/>
  <c r="H22" i="1"/>
  <c r="X21" i="1"/>
  <c r="U21" i="1"/>
  <c r="R21" i="1"/>
  <c r="I21" i="1"/>
  <c r="K21" i="1" s="1"/>
  <c r="H21" i="1"/>
  <c r="X20" i="1"/>
  <c r="U20" i="1"/>
  <c r="R20" i="1"/>
  <c r="I20" i="1"/>
  <c r="K20" i="1" s="1"/>
  <c r="H20" i="1"/>
  <c r="X19" i="1"/>
  <c r="U19" i="1"/>
  <c r="R19" i="1"/>
  <c r="I19" i="1"/>
  <c r="K19" i="1" s="1"/>
  <c r="H19" i="1"/>
  <c r="X18" i="1"/>
  <c r="U18" i="1"/>
  <c r="R18" i="1"/>
  <c r="I18" i="1"/>
  <c r="K18" i="1" s="1"/>
  <c r="H18" i="1"/>
  <c r="X17" i="1"/>
  <c r="U17" i="1"/>
  <c r="R17" i="1"/>
  <c r="I17" i="1"/>
  <c r="K17" i="1" s="1"/>
  <c r="H17" i="1"/>
  <c r="X16" i="1"/>
  <c r="U16" i="1"/>
  <c r="R16" i="1"/>
  <c r="I16" i="1"/>
  <c r="K16" i="1" s="1"/>
  <c r="H16" i="1"/>
  <c r="X15" i="1"/>
  <c r="U15" i="1"/>
  <c r="R15" i="1"/>
  <c r="I15" i="1"/>
  <c r="K15" i="1" s="1"/>
  <c r="H15" i="1"/>
  <c r="T92" i="1" l="1"/>
  <c r="T93" i="1" s="1"/>
  <c r="T77" i="1"/>
  <c r="H36" i="1"/>
  <c r="X36" i="1"/>
  <c r="I36" i="1"/>
  <c r="K36" i="1" s="1"/>
  <c r="S52" i="1"/>
  <c r="T81" i="1"/>
  <c r="T82" i="1" s="1"/>
  <c r="W14" i="1"/>
  <c r="W30" i="1"/>
  <c r="S56" i="1"/>
  <c r="S14" i="1"/>
  <c r="W73" i="1"/>
  <c r="W56" i="1"/>
  <c r="S27" i="1"/>
  <c r="S21" i="1"/>
  <c r="T21" i="1" s="1"/>
  <c r="W44" i="1"/>
  <c r="S60" i="1"/>
  <c r="T60" i="1" s="1"/>
  <c r="W60" i="1"/>
  <c r="W31" i="1"/>
  <c r="W57" i="1"/>
  <c r="W19" i="1"/>
  <c r="S20" i="1"/>
  <c r="T20" i="1" s="1"/>
  <c r="S32" i="1"/>
  <c r="W16" i="1"/>
  <c r="W25" i="1"/>
  <c r="S17" i="1"/>
  <c r="S29" i="1"/>
  <c r="W46" i="1"/>
  <c r="S66" i="1"/>
  <c r="T66" i="1" s="1"/>
  <c r="S71" i="1"/>
  <c r="W38" i="1"/>
  <c r="W41" i="1"/>
  <c r="S38" i="1"/>
  <c r="S16" i="1"/>
  <c r="W35" i="1"/>
  <c r="W68" i="1"/>
  <c r="S48" i="1"/>
  <c r="W64" i="1"/>
  <c r="W15" i="1"/>
  <c r="S37" i="1"/>
  <c r="W21" i="1"/>
  <c r="S24" i="1"/>
  <c r="T24" i="1" s="1"/>
  <c r="W34" i="1"/>
  <c r="W37" i="1"/>
  <c r="W40" i="1"/>
  <c r="W59" i="1"/>
  <c r="S70" i="1"/>
  <c r="W17" i="1"/>
  <c r="W24" i="1"/>
  <c r="S43" i="1"/>
  <c r="W50" i="1"/>
  <c r="S55" i="1"/>
  <c r="S58" i="1"/>
  <c r="S63" i="1"/>
  <c r="T63" i="1" s="1"/>
  <c r="S22" i="1"/>
  <c r="S23" i="1"/>
  <c r="S35" i="1"/>
  <c r="S46" i="1"/>
  <c r="W48" i="1"/>
  <c r="S54" i="1"/>
  <c r="T54" i="1" s="1"/>
  <c r="S57" i="1"/>
  <c r="T57" i="1" s="1"/>
  <c r="W58" i="1"/>
  <c r="S69" i="1"/>
  <c r="T69" i="1" s="1"/>
  <c r="S18" i="1"/>
  <c r="W23" i="1"/>
  <c r="S25" i="1"/>
  <c r="W26" i="1"/>
  <c r="S28" i="1"/>
  <c r="W32" i="1"/>
  <c r="W39" i="1"/>
  <c r="W49" i="1"/>
  <c r="S51" i="1"/>
  <c r="W52" i="1"/>
  <c r="S67" i="1"/>
  <c r="S68" i="1"/>
  <c r="W69" i="1"/>
  <c r="W18" i="1"/>
  <c r="S15" i="1"/>
  <c r="S42" i="1"/>
  <c r="T42" i="1" s="1"/>
  <c r="S50" i="1"/>
  <c r="W55" i="1"/>
  <c r="S59" i="1"/>
  <c r="W75" i="1"/>
  <c r="W22" i="1"/>
  <c r="W20" i="1"/>
  <c r="S26" i="1"/>
  <c r="W43" i="1"/>
  <c r="S45" i="1"/>
  <c r="T45" i="1" s="1"/>
  <c r="S47" i="1"/>
  <c r="T47" i="1" s="1"/>
  <c r="S53" i="1"/>
  <c r="S61" i="1"/>
  <c r="W72" i="1"/>
  <c r="W27" i="1"/>
  <c r="W47" i="1"/>
  <c r="W51" i="1"/>
  <c r="S19" i="1"/>
  <c r="S31" i="1"/>
  <c r="T31" i="1" s="1"/>
  <c r="S34" i="1"/>
  <c r="T34" i="1" s="1"/>
  <c r="S39" i="1"/>
  <c r="S44" i="1"/>
  <c r="W54" i="1"/>
  <c r="W71" i="1"/>
  <c r="S41" i="1"/>
  <c r="W63" i="1"/>
  <c r="W65" i="1"/>
  <c r="W70" i="1"/>
  <c r="S49" i="1"/>
  <c r="W53" i="1"/>
  <c r="S75" i="1"/>
  <c r="W42" i="1"/>
  <c r="S30" i="1"/>
  <c r="W61" i="1"/>
  <c r="W29" i="1"/>
  <c r="S40" i="1"/>
  <c r="W45" i="1"/>
  <c r="W28" i="1"/>
  <c r="W66" i="1"/>
  <c r="W67" i="1"/>
  <c r="S64" i="1"/>
  <c r="S72" i="1"/>
  <c r="S65" i="1"/>
  <c r="S73" i="1"/>
  <c r="T78" i="1" l="1"/>
  <c r="T79" i="1" s="1"/>
  <c r="S36" i="1"/>
  <c r="T70" i="1"/>
  <c r="T71" i="1" s="1"/>
  <c r="T72" i="1" s="1"/>
  <c r="T25" i="1"/>
  <c r="T26" i="1" s="1"/>
  <c r="T27" i="1" s="1"/>
  <c r="T35" i="1"/>
  <c r="T32" i="1"/>
  <c r="T33" i="1" s="1"/>
  <c r="W36" i="1"/>
  <c r="T67" i="1"/>
  <c r="T68" i="1" s="1"/>
  <c r="T61" i="1"/>
  <c r="T64" i="1"/>
  <c r="T65" i="1" s="1"/>
  <c r="T58" i="1"/>
  <c r="T59" i="1" s="1"/>
  <c r="T51" i="1"/>
  <c r="T52" i="1" s="1"/>
  <c r="T53" i="1" s="1"/>
  <c r="T48" i="1"/>
  <c r="T49" i="1" s="1"/>
  <c r="T50" i="1" s="1"/>
  <c r="T55" i="1"/>
  <c r="T56" i="1" s="1"/>
  <c r="T22" i="1"/>
  <c r="T23" i="1" s="1"/>
  <c r="T43" i="1"/>
  <c r="T44" i="1" s="1"/>
  <c r="T46" i="1"/>
  <c r="T14" i="1"/>
  <c r="T15" i="1" s="1"/>
  <c r="T62" i="1" l="1"/>
  <c r="T36" i="1"/>
  <c r="T37" i="1" s="1"/>
  <c r="T41" i="1" s="1"/>
  <c r="T28" i="1"/>
  <c r="T29" i="1" s="1"/>
  <c r="T30" i="1" s="1"/>
  <c r="T73" i="1"/>
  <c r="T74" i="1"/>
  <c r="T75" i="1" s="1"/>
  <c r="T16" i="1"/>
  <c r="T17" i="1" s="1"/>
  <c r="T18" i="1" s="1"/>
  <c r="T19" i="1"/>
  <c r="T38" i="1" l="1"/>
  <c r="T39" i="1" s="1"/>
  <c r="T40" i="1" s="1"/>
</calcChain>
</file>

<file path=xl/sharedStrings.xml><?xml version="1.0" encoding="utf-8"?>
<sst xmlns="http://schemas.openxmlformats.org/spreadsheetml/2006/main" count="428" uniqueCount="119">
  <si>
    <t>CUADRO DE CALCULO PARA UNA RED DE DISTRIBUCION</t>
  </si>
  <si>
    <t>PRIMARIA</t>
  </si>
  <si>
    <t xml:space="preserve">SECUNDARIA </t>
  </si>
  <si>
    <t xml:space="preserve">PROYECTO </t>
  </si>
  <si>
    <t>CIRCUITO</t>
  </si>
  <si>
    <t xml:space="preserve">CONFIGURACION </t>
  </si>
  <si>
    <t>FECHA</t>
  </si>
  <si>
    <t xml:space="preserve">LOCALIZACION </t>
  </si>
  <si>
    <t>%PERDIDAS DEL CIRCUITO</t>
  </si>
  <si>
    <t>AEREA             X</t>
  </si>
  <si>
    <t>AEREA                X</t>
  </si>
  <si>
    <t>Alimentador A-03 13.2 kV</t>
  </si>
  <si>
    <t>SUBTERANEA___</t>
  </si>
  <si>
    <t>SUBTERRANEA___</t>
  </si>
  <si>
    <t>USUARIOS</t>
  </si>
  <si>
    <t>CARGA</t>
  </si>
  <si>
    <t>DPS</t>
  </si>
  <si>
    <t>CORTACIRCUITOS - FUSIBLE</t>
  </si>
  <si>
    <t>CAPACIDAD (KVA)</t>
  </si>
  <si>
    <t>CARGA(%)</t>
  </si>
  <si>
    <t xml:space="preserve">TIPO </t>
  </si>
  <si>
    <t>TENSIÓN</t>
  </si>
  <si>
    <t>MONTAJE</t>
  </si>
  <si>
    <t xml:space="preserve">PUESTA TIERRA </t>
  </si>
  <si>
    <t xml:space="preserve">PERDIDAS DEL TRANSFORMADOR </t>
  </si>
  <si>
    <t>NÚMERO</t>
  </si>
  <si>
    <t xml:space="preserve">CLASE </t>
  </si>
  <si>
    <t>KVA</t>
  </si>
  <si>
    <t>TOTAL(KVA)</t>
  </si>
  <si>
    <t>N°</t>
  </si>
  <si>
    <t>kV</t>
  </si>
  <si>
    <t>TIPO FUSIBLE</t>
  </si>
  <si>
    <t xml:space="preserve">I NOM / I CORTE (A) </t>
  </si>
  <si>
    <t>CALIBRE BAJANTE</t>
  </si>
  <si>
    <t>2 AWG</t>
  </si>
  <si>
    <t xml:space="preserve">USUARIO </t>
  </si>
  <si>
    <t>T</t>
  </si>
  <si>
    <t>1,31/3,93</t>
  </si>
  <si>
    <t>80/90</t>
  </si>
  <si>
    <t>Monofasico</t>
  </si>
  <si>
    <t>PRIMARIO</t>
  </si>
  <si>
    <t xml:space="preserve">SECUNDARIO </t>
  </si>
  <si>
    <t>Poste</t>
  </si>
  <si>
    <t xml:space="preserve">VARILLAS </t>
  </si>
  <si>
    <t>KW</t>
  </si>
  <si>
    <t>220/110</t>
  </si>
  <si>
    <t>LONGITUD</t>
  </si>
  <si>
    <t>%</t>
  </si>
  <si>
    <t xml:space="preserve">DIAMETRO </t>
  </si>
  <si>
    <t>5/8''</t>
  </si>
  <si>
    <t>TRAYECTO</t>
  </si>
  <si>
    <t>TRAMO</t>
  </si>
  <si>
    <t>VA DEL TRAMO</t>
  </si>
  <si>
    <t>CORRIENTE (A)</t>
  </si>
  <si>
    <t xml:space="preserve">CONDUCTOR </t>
  </si>
  <si>
    <t>REGULACION (%)</t>
  </si>
  <si>
    <t xml:space="preserve">PERDIDAS DE POTENCIA </t>
  </si>
  <si>
    <t>Nominal</t>
  </si>
  <si>
    <t>x por factor de seguridad</t>
  </si>
  <si>
    <t xml:space="preserve">FASES </t>
  </si>
  <si>
    <t>NEUTRO</t>
  </si>
  <si>
    <t>IMPEDANCIA</t>
  </si>
  <si>
    <t>K_reg</t>
  </si>
  <si>
    <t>PARCIAL</t>
  </si>
  <si>
    <t>ACUMULADO</t>
  </si>
  <si>
    <t>k_perdidas</t>
  </si>
  <si>
    <t>W/TRAMO</t>
  </si>
  <si>
    <t xml:space="preserve">CALIBRE </t>
  </si>
  <si>
    <t>r</t>
  </si>
  <si>
    <t>x</t>
  </si>
  <si>
    <t>T1</t>
  </si>
  <si>
    <t>A-B</t>
  </si>
  <si>
    <t>2x2 AWG</t>
  </si>
  <si>
    <t>2AWG</t>
  </si>
  <si>
    <t>B-C</t>
  </si>
  <si>
    <t>C-D</t>
  </si>
  <si>
    <t>D-E</t>
  </si>
  <si>
    <t>B-F</t>
  </si>
  <si>
    <t>F-G</t>
  </si>
  <si>
    <t>A-H</t>
  </si>
  <si>
    <t>H-I</t>
  </si>
  <si>
    <t>I-J</t>
  </si>
  <si>
    <t>K-L</t>
  </si>
  <si>
    <t>T2</t>
  </si>
  <si>
    <t>A-F</t>
  </si>
  <si>
    <t>G-H</t>
  </si>
  <si>
    <t>J-K</t>
  </si>
  <si>
    <t>M-N</t>
  </si>
  <si>
    <t>T3</t>
  </si>
  <si>
    <t>E-F</t>
  </si>
  <si>
    <t>T4</t>
  </si>
  <si>
    <t>T5</t>
  </si>
  <si>
    <t>T6</t>
  </si>
  <si>
    <t>T7</t>
  </si>
  <si>
    <t>A-E</t>
  </si>
  <si>
    <t>K-M</t>
  </si>
  <si>
    <t>A-I</t>
  </si>
  <si>
    <t>VA-Km (MOMENTO ELECTRICO)</t>
  </si>
  <si>
    <t>LONGITUD DEL TRAMO (Km)</t>
  </si>
  <si>
    <t>TOTAL (kVA)</t>
  </si>
  <si>
    <t>T8</t>
  </si>
  <si>
    <t>B-D</t>
  </si>
  <si>
    <t>L–T, 240/120 V monofásico</t>
  </si>
  <si>
    <t xml:space="preserve">J-K </t>
  </si>
  <si>
    <t>A-C</t>
  </si>
  <si>
    <t>A-D</t>
  </si>
  <si>
    <t>C- G</t>
  </si>
  <si>
    <t>C-F</t>
  </si>
  <si>
    <t>I-K</t>
  </si>
  <si>
    <t>D-H</t>
  </si>
  <si>
    <t>T9</t>
  </si>
  <si>
    <t>T10</t>
  </si>
  <si>
    <t>D-G</t>
  </si>
  <si>
    <t>T11</t>
  </si>
  <si>
    <t>F-H</t>
  </si>
  <si>
    <t>T12</t>
  </si>
  <si>
    <t>T13</t>
  </si>
  <si>
    <t>D-F</t>
  </si>
  <si>
    <t>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</si>
</sst>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00000"/>
    <numFmt numFmtId="166" formatCode="0.0000000"/>
    <numFmt numFmtId="167" formatCode="0.00000000000"/>
    <numFmt numFmtId="168" formatCode="0.000000"/>
    <numFmt numFmtId="169" formatCode="0.000E+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2" fillId="2" borderId="1" xfId="0" applyFont="1" applyFill="1" applyBorder="1"/>
    <xf numFmtId="0" fontId="2" fillId="2" borderId="5" xfId="0" applyFont="1" applyFill="1" applyBorder="1"/>
    <xf numFmtId="0" fontId="3" fillId="0" borderId="9" xfId="0" applyFont="1" applyBorder="1" applyAlignment="1">
      <alignment horizontal="center" vertical="center"/>
    </xf>
    <xf numFmtId="0" fontId="2" fillId="2" borderId="13" xfId="0" applyFont="1" applyFill="1" applyBorder="1"/>
    <xf numFmtId="0" fontId="2" fillId="0" borderId="9" xfId="0" applyFont="1" applyBorder="1"/>
    <xf numFmtId="0" fontId="2" fillId="0" borderId="14" xfId="0" applyFont="1" applyBorder="1" applyAlignment="1">
      <alignment horizontal="center"/>
    </xf>
    <xf numFmtId="0" fontId="2" fillId="2" borderId="17" xfId="0" applyFont="1" applyFill="1" applyBorder="1"/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/>
    <xf numFmtId="0" fontId="2" fillId="0" borderId="24" xfId="0" applyFont="1" applyBorder="1" applyAlignment="1">
      <alignment horizontal="center"/>
    </xf>
    <xf numFmtId="0" fontId="2" fillId="2" borderId="27" xfId="0" applyFont="1" applyFill="1" applyBorder="1"/>
    <xf numFmtId="0" fontId="2" fillId="0" borderId="12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/>
    <xf numFmtId="168" fontId="2" fillId="0" borderId="24" xfId="0" applyNumberFormat="1" applyFont="1" applyBorder="1"/>
    <xf numFmtId="0" fontId="2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166" fontId="2" fillId="0" borderId="22" xfId="0" applyNumberFormat="1" applyFont="1" applyBorder="1"/>
    <xf numFmtId="0" fontId="2" fillId="2" borderId="1" xfId="0" applyFont="1" applyFill="1" applyBorder="1" applyAlignment="1">
      <alignment horizontal="center" vertical="center"/>
    </xf>
    <xf numFmtId="11" fontId="2" fillId="2" borderId="1" xfId="0" applyNumberFormat="1" applyFont="1" applyFill="1" applyBorder="1" applyAlignment="1">
      <alignment horizontal="center" vertical="center"/>
    </xf>
    <xf numFmtId="169" fontId="2" fillId="2" borderId="1" xfId="0" applyNumberFormat="1" applyFont="1" applyFill="1" applyBorder="1" applyAlignment="1">
      <alignment horizontal="center" vertical="center"/>
    </xf>
    <xf numFmtId="168" fontId="2" fillId="0" borderId="9" xfId="0" applyNumberFormat="1" applyFont="1" applyBorder="1"/>
    <xf numFmtId="166" fontId="2" fillId="0" borderId="3" xfId="0" applyNumberFormat="1" applyFont="1" applyBorder="1"/>
    <xf numFmtId="165" fontId="2" fillId="0" borderId="11" xfId="0" applyNumberFormat="1" applyFont="1" applyBorder="1" applyAlignment="1">
      <alignment horizontal="center"/>
    </xf>
    <xf numFmtId="166" fontId="2" fillId="0" borderId="16" xfId="0" applyNumberFormat="1" applyFont="1" applyBorder="1"/>
    <xf numFmtId="164" fontId="2" fillId="0" borderId="12" xfId="0" applyNumberFormat="1" applyFont="1" applyBorder="1"/>
    <xf numFmtId="0" fontId="2" fillId="0" borderId="2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5" xfId="0" applyFont="1" applyBorder="1"/>
    <xf numFmtId="1" fontId="2" fillId="0" borderId="38" xfId="0" applyNumberFormat="1" applyFont="1" applyBorder="1" applyAlignment="1">
      <alignment horizontal="center"/>
    </xf>
    <xf numFmtId="0" fontId="2" fillId="0" borderId="16" xfId="0" applyFont="1" applyBorder="1"/>
    <xf numFmtId="0" fontId="2" fillId="0" borderId="34" xfId="0" applyFont="1" applyBorder="1"/>
    <xf numFmtId="0" fontId="2" fillId="0" borderId="37" xfId="0" applyFont="1" applyBorder="1"/>
    <xf numFmtId="0" fontId="2" fillId="0" borderId="38" xfId="0" applyFont="1" applyBorder="1"/>
    <xf numFmtId="165" fontId="2" fillId="0" borderId="40" xfId="0" applyNumberFormat="1" applyFont="1" applyBorder="1" applyAlignment="1">
      <alignment horizontal="center"/>
    </xf>
    <xf numFmtId="166" fontId="2" fillId="0" borderId="41" xfId="0" applyNumberFormat="1" applyFont="1" applyBorder="1"/>
    <xf numFmtId="164" fontId="2" fillId="0" borderId="42" xfId="0" applyNumberFormat="1" applyFont="1" applyBorder="1"/>
    <xf numFmtId="165" fontId="2" fillId="0" borderId="43" xfId="0" applyNumberFormat="1" applyFont="1" applyBorder="1" applyAlignment="1">
      <alignment horizontal="center"/>
    </xf>
    <xf numFmtId="166" fontId="2" fillId="0" borderId="34" xfId="0" applyNumberFormat="1" applyFont="1" applyBorder="1"/>
    <xf numFmtId="166" fontId="2" fillId="0" borderId="44" xfId="0" applyNumberFormat="1" applyFont="1" applyBorder="1"/>
    <xf numFmtId="0" fontId="2" fillId="0" borderId="3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165" fontId="2" fillId="0" borderId="34" xfId="0" applyNumberFormat="1" applyFont="1" applyBorder="1" applyAlignment="1">
      <alignment horizontal="center"/>
    </xf>
    <xf numFmtId="164" fontId="2" fillId="0" borderId="34" xfId="0" applyNumberFormat="1" applyFont="1" applyBorder="1"/>
    <xf numFmtId="166" fontId="2" fillId="0" borderId="42" xfId="0" applyNumberFormat="1" applyFont="1" applyBorder="1"/>
    <xf numFmtId="0" fontId="2" fillId="2" borderId="34" xfId="0" applyFont="1" applyFill="1" applyBorder="1"/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2" borderId="34" xfId="0" applyFont="1" applyFill="1" applyBorder="1" applyAlignment="1">
      <alignment horizontal="center" vertical="center"/>
    </xf>
    <xf numFmtId="169" fontId="2" fillId="2" borderId="34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" fontId="2" fillId="0" borderId="34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37" xfId="0" applyNumberFormat="1" applyFont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4" fillId="0" borderId="14" xfId="0" applyFont="1" applyBorder="1"/>
    <xf numFmtId="164" fontId="2" fillId="0" borderId="45" xfId="0" applyNumberFormat="1" applyFont="1" applyBorder="1" applyAlignment="1">
      <alignment horizontal="center"/>
    </xf>
    <xf numFmtId="0" fontId="4" fillId="0" borderId="46" xfId="0" applyFont="1" applyBorder="1"/>
    <xf numFmtId="0" fontId="2" fillId="0" borderId="7" xfId="0" applyFont="1" applyBorder="1" applyAlignment="1">
      <alignment horizontal="center"/>
    </xf>
    <xf numFmtId="0" fontId="4" fillId="0" borderId="8" xfId="0" applyFont="1" applyBorder="1"/>
    <xf numFmtId="167" fontId="2" fillId="0" borderId="6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4" fillId="0" borderId="4" xfId="0" applyFont="1" applyBorder="1"/>
    <xf numFmtId="164" fontId="2" fillId="0" borderId="18" xfId="0" applyNumberFormat="1" applyFont="1" applyBorder="1" applyAlignment="1">
      <alignment horizontal="center"/>
    </xf>
    <xf numFmtId="0" fontId="4" fillId="0" borderId="19" xfId="0" applyFont="1" applyBorder="1"/>
    <xf numFmtId="0" fontId="2" fillId="0" borderId="6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4" fillId="0" borderId="34" xfId="0" applyFont="1" applyBorder="1"/>
    <xf numFmtId="164" fontId="2" fillId="0" borderId="7" xfId="0" applyNumberFormat="1" applyFont="1" applyBorder="1" applyAlignment="1">
      <alignment horizontal="center"/>
    </xf>
    <xf numFmtId="0" fontId="4" fillId="0" borderId="7" xfId="0" applyFont="1" applyBorder="1"/>
    <xf numFmtId="167" fontId="2" fillId="0" borderId="7" xfId="0" applyNumberFormat="1" applyFont="1" applyBorder="1" applyAlignment="1">
      <alignment horizontal="center"/>
    </xf>
    <xf numFmtId="0" fontId="2" fillId="0" borderId="37" xfId="0" applyFont="1" applyBorder="1" applyAlignment="1">
      <alignment horizontal="center" vertical="center"/>
    </xf>
    <xf numFmtId="0" fontId="4" fillId="0" borderId="38" xfId="0" applyFont="1" applyBorder="1"/>
    <xf numFmtId="0" fontId="2" fillId="0" borderId="40" xfId="0" applyFont="1" applyBorder="1" applyAlignment="1">
      <alignment horizontal="center"/>
    </xf>
    <xf numFmtId="0" fontId="4" fillId="0" borderId="41" xfId="0" applyFont="1" applyBorder="1"/>
    <xf numFmtId="0" fontId="4" fillId="0" borderId="42" xfId="0" applyFont="1" applyBorder="1"/>
    <xf numFmtId="0" fontId="2" fillId="0" borderId="43" xfId="0" applyFont="1" applyBorder="1" applyAlignment="1">
      <alignment horizontal="center"/>
    </xf>
    <xf numFmtId="0" fontId="0" fillId="0" borderId="34" xfId="0" applyBorder="1"/>
    <xf numFmtId="0" fontId="4" fillId="0" borderId="44" xfId="0" applyFont="1" applyBorder="1"/>
    <xf numFmtId="0" fontId="2" fillId="0" borderId="34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164" fontId="2" fillId="0" borderId="49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164" fontId="4" fillId="0" borderId="34" xfId="0" applyNumberFormat="1" applyFont="1" applyBorder="1"/>
    <xf numFmtId="0" fontId="2" fillId="0" borderId="14" xfId="0" applyFont="1" applyBorder="1" applyAlignment="1">
      <alignment horizontal="center"/>
    </xf>
    <xf numFmtId="164" fontId="2" fillId="0" borderId="20" xfId="0" applyNumberFormat="1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4" fillId="0" borderId="3" xfId="0" applyNumberFormat="1" applyFont="1" applyBorder="1"/>
    <xf numFmtId="164" fontId="2" fillId="0" borderId="11" xfId="0" applyNumberFormat="1" applyFont="1" applyBorder="1" applyAlignment="1">
      <alignment horizontal="center"/>
    </xf>
    <xf numFmtId="0" fontId="4" fillId="0" borderId="12" xfId="0" applyFont="1" applyBorder="1"/>
    <xf numFmtId="0" fontId="0" fillId="0" borderId="44" xfId="0" applyBorder="1"/>
    <xf numFmtId="164" fontId="2" fillId="0" borderId="1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3" xfId="0" applyFont="1" applyBorder="1"/>
    <xf numFmtId="0" fontId="2" fillId="0" borderId="24" xfId="0" applyFont="1" applyBorder="1" applyAlignment="1">
      <alignment horizontal="center" vertical="center"/>
    </xf>
    <xf numFmtId="0" fontId="4" fillId="0" borderId="25" xfId="0" applyFont="1" applyBorder="1"/>
    <xf numFmtId="0" fontId="2" fillId="0" borderId="24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4" fillId="0" borderId="22" xfId="0" applyFont="1" applyBorder="1"/>
    <xf numFmtId="0" fontId="4" fillId="0" borderId="29" xfId="0" applyFont="1" applyBorder="1"/>
    <xf numFmtId="0" fontId="3" fillId="0" borderId="28" xfId="0" applyFont="1" applyBorder="1" applyAlignment="1">
      <alignment horizontal="center" vertical="center"/>
    </xf>
    <xf numFmtId="0" fontId="4" fillId="0" borderId="28" xfId="0" applyFont="1" applyBorder="1"/>
    <xf numFmtId="0" fontId="4" fillId="0" borderId="30" xfId="0" applyFont="1" applyBorder="1"/>
    <xf numFmtId="0" fontId="3" fillId="0" borderId="23" xfId="0" applyFont="1" applyBorder="1" applyAlignment="1">
      <alignment horizontal="center" vertical="center" wrapText="1"/>
    </xf>
    <xf numFmtId="0" fontId="4" fillId="0" borderId="23" xfId="0" applyFont="1" applyBorder="1"/>
    <xf numFmtId="0" fontId="4" fillId="0" borderId="31" xfId="0" applyFont="1" applyBorder="1"/>
    <xf numFmtId="0" fontId="3" fillId="0" borderId="24" xfId="0" applyFont="1" applyBorder="1" applyAlignment="1">
      <alignment horizontal="center" vertical="center" wrapText="1"/>
    </xf>
    <xf numFmtId="0" fontId="4" fillId="0" borderId="21" xfId="0" applyFont="1" applyBorder="1"/>
    <xf numFmtId="164" fontId="4" fillId="0" borderId="22" xfId="0" applyNumberFormat="1" applyFont="1" applyBorder="1"/>
    <xf numFmtId="0" fontId="4" fillId="0" borderId="18" xfId="0" applyFont="1" applyBorder="1"/>
    <xf numFmtId="0" fontId="2" fillId="0" borderId="32" xfId="0" applyFont="1" applyBorder="1" applyAlignment="1">
      <alignment horizontal="center" vertical="center"/>
    </xf>
    <xf numFmtId="0" fontId="4" fillId="0" borderId="26" xfId="0" applyFont="1" applyBorder="1"/>
    <xf numFmtId="164" fontId="4" fillId="0" borderId="4" xfId="0" applyNumberFormat="1" applyFont="1" applyBorder="1"/>
    <xf numFmtId="1" fontId="2" fillId="0" borderId="35" xfId="0" applyNumberFormat="1" applyFont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67" fontId="2" fillId="0" borderId="49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4" fillId="0" borderId="16" xfId="0" applyFont="1" applyBorder="1"/>
    <xf numFmtId="0" fontId="2" fillId="0" borderId="11" xfId="0" applyFont="1" applyBorder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164" fontId="2" fillId="0" borderId="43" xfId="0" applyNumberFormat="1" applyFont="1" applyBorder="1" applyAlignment="1">
      <alignment horizontal="center"/>
    </xf>
    <xf numFmtId="164" fontId="2" fillId="0" borderId="34" xfId="0" applyNumberFormat="1" applyFont="1" applyBorder="1" applyAlignment="1">
      <alignment horizontal="center"/>
    </xf>
    <xf numFmtId="164" fontId="2" fillId="0" borderId="44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5" xfId="0" applyFont="1" applyBorder="1"/>
    <xf numFmtId="17" fontId="2" fillId="0" borderId="11" xfId="0" applyNumberFormat="1" applyFont="1" applyBorder="1" applyAlignment="1">
      <alignment horizontal="center" vertical="center"/>
    </xf>
    <xf numFmtId="0" fontId="6" fillId="0" borderId="11" xfId="0" applyFont="1" applyBorder="1"/>
    <xf numFmtId="0" fontId="4" fillId="0" borderId="20" xfId="0" applyFont="1" applyBorder="1"/>
    <xf numFmtId="164" fontId="2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4" fillId="0" borderId="39" xfId="0" applyFont="1" applyBorder="1"/>
    <xf numFmtId="0" fontId="3" fillId="0" borderId="34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26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4" fillId="0" borderId="33" xfId="0" applyFont="1" applyBorder="1"/>
    <xf numFmtId="167" fontId="2" fillId="0" borderId="47" xfId="0" applyNumberFormat="1" applyFont="1" applyBorder="1" applyAlignment="1">
      <alignment horizontal="center"/>
    </xf>
    <xf numFmtId="167" fontId="2" fillId="0" borderId="48" xfId="0" applyNumberFormat="1" applyFont="1" applyBorder="1" applyAlignment="1">
      <alignment horizontal="center"/>
    </xf>
    <xf numFmtId="1" fontId="2" fillId="0" borderId="4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6"/>
  <sheetViews>
    <sheetView tabSelected="1" topLeftCell="A119" zoomScale="55" zoomScaleNormal="55" workbookViewId="0">
      <selection activeCell="D131" sqref="D131"/>
    </sheetView>
  </sheetViews>
  <sheetFormatPr baseColWidth="10" defaultColWidth="14.44140625" defaultRowHeight="15" customHeight="1" x14ac:dyDescent="0.3"/>
  <cols>
    <col min="1" max="1" width="3.33203125" customWidth="1"/>
    <col min="2" max="2" width="11.109375" customWidth="1"/>
    <col min="3" max="3" width="9.88671875" customWidth="1"/>
    <col min="4" max="4" width="15.6640625" customWidth="1"/>
    <col min="5" max="5" width="9.88671875" customWidth="1"/>
    <col min="6" max="6" width="18.88671875" customWidth="1"/>
    <col min="7" max="7" width="12" customWidth="1"/>
    <col min="8" max="8" width="16.6640625" customWidth="1"/>
    <col min="9" max="9" width="8.33203125" customWidth="1"/>
    <col min="10" max="10" width="8.6640625" customWidth="1"/>
    <col min="11" max="11" width="10" customWidth="1"/>
    <col min="12" max="12" width="16.6640625" customWidth="1"/>
    <col min="13" max="13" width="9.44140625" customWidth="1"/>
    <col min="14" max="14" width="11.6640625" customWidth="1"/>
    <col min="15" max="15" width="12.109375" customWidth="1"/>
    <col min="16" max="16" width="9.44140625" customWidth="1"/>
    <col min="17" max="17" width="9.6640625" customWidth="1"/>
    <col min="18" max="18" width="14" customWidth="1"/>
    <col min="19" max="19" width="14.88671875" bestFit="1" customWidth="1"/>
    <col min="20" max="20" width="14.21875" bestFit="1" customWidth="1"/>
    <col min="21" max="21" width="8.109375" customWidth="1"/>
    <col min="22" max="22" width="12" bestFit="1" customWidth="1"/>
    <col min="23" max="23" width="15.109375" customWidth="1"/>
    <col min="24" max="25" width="9.44140625" customWidth="1"/>
    <col min="26" max="26" width="2" customWidth="1"/>
    <col min="27" max="27" width="7.33203125" customWidth="1"/>
    <col min="28" max="29" width="11.44140625" customWidth="1"/>
  </cols>
  <sheetData>
    <row r="1" spans="1:29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6.5" customHeight="1" x14ac:dyDescent="0.3">
      <c r="A2" s="1"/>
      <c r="B2" s="152" t="s">
        <v>0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79"/>
      <c r="Z2" s="1"/>
      <c r="AA2" s="1"/>
      <c r="AB2" s="1"/>
      <c r="AC2" s="1"/>
    </row>
    <row r="3" spans="1:29" ht="16.5" customHeight="1" x14ac:dyDescent="0.3">
      <c r="A3" s="2"/>
      <c r="B3" s="153" t="s">
        <v>1</v>
      </c>
      <c r="C3" s="88"/>
      <c r="D3" s="88"/>
      <c r="E3" s="76"/>
      <c r="F3" s="3" t="s">
        <v>2</v>
      </c>
      <c r="G3" s="153" t="s">
        <v>3</v>
      </c>
      <c r="H3" s="76"/>
      <c r="I3" s="154" t="s">
        <v>4</v>
      </c>
      <c r="J3" s="116"/>
      <c r="K3" s="155" t="s">
        <v>5</v>
      </c>
      <c r="L3" s="112"/>
      <c r="M3" s="155" t="s">
        <v>6</v>
      </c>
      <c r="N3" s="112"/>
      <c r="O3" s="154" t="s">
        <v>7</v>
      </c>
      <c r="P3" s="116"/>
      <c r="Q3" s="116"/>
      <c r="R3" s="116"/>
      <c r="S3" s="116"/>
      <c r="T3" s="79"/>
      <c r="U3" s="156" t="s">
        <v>8</v>
      </c>
      <c r="V3" s="116"/>
      <c r="W3" s="116"/>
      <c r="X3" s="116"/>
      <c r="Y3" s="79"/>
      <c r="Z3" s="4"/>
      <c r="AA3" s="1"/>
      <c r="AB3" s="1"/>
      <c r="AC3" s="1"/>
    </row>
    <row r="4" spans="1:29" thickBot="1" x14ac:dyDescent="0.35">
      <c r="A4" s="2"/>
      <c r="B4" s="82" t="s">
        <v>9</v>
      </c>
      <c r="C4" s="88"/>
      <c r="D4" s="88"/>
      <c r="E4" s="76"/>
      <c r="F4" s="5" t="s">
        <v>10</v>
      </c>
      <c r="G4" s="106"/>
      <c r="H4" s="157"/>
      <c r="I4" s="162" t="s">
        <v>11</v>
      </c>
      <c r="J4" s="112"/>
      <c r="K4" s="163" t="s">
        <v>102</v>
      </c>
      <c r="L4" s="112"/>
      <c r="M4" s="158"/>
      <c r="N4" s="112"/>
      <c r="O4" s="159"/>
      <c r="P4" s="142"/>
      <c r="Q4" s="142"/>
      <c r="R4" s="142"/>
      <c r="S4" s="142"/>
      <c r="T4" s="112"/>
      <c r="U4" s="161"/>
      <c r="V4" s="142"/>
      <c r="W4" s="142"/>
      <c r="X4" s="142"/>
      <c r="Y4" s="112"/>
      <c r="Z4" s="7"/>
      <c r="AA4" s="1"/>
      <c r="AB4" s="1"/>
      <c r="AC4" s="1"/>
    </row>
    <row r="5" spans="1:29" ht="15.75" customHeight="1" thickBot="1" x14ac:dyDescent="0.35">
      <c r="A5" s="2"/>
      <c r="B5" s="82" t="s">
        <v>12</v>
      </c>
      <c r="C5" s="88"/>
      <c r="D5" s="88"/>
      <c r="E5" s="76"/>
      <c r="F5" s="5" t="s">
        <v>13</v>
      </c>
      <c r="G5" s="132"/>
      <c r="H5" s="81"/>
      <c r="I5" s="132"/>
      <c r="J5" s="81"/>
      <c r="K5" s="132"/>
      <c r="L5" s="81"/>
      <c r="M5" s="132"/>
      <c r="N5" s="81"/>
      <c r="O5" s="132"/>
      <c r="P5" s="160"/>
      <c r="Q5" s="160"/>
      <c r="R5" s="160"/>
      <c r="S5" s="160"/>
      <c r="T5" s="157"/>
      <c r="U5" s="132"/>
      <c r="V5" s="160"/>
      <c r="W5" s="160"/>
      <c r="X5" s="160"/>
      <c r="Y5" s="81"/>
      <c r="Z5" s="7"/>
      <c r="AA5" s="1"/>
      <c r="AB5" s="1"/>
      <c r="AC5" s="1"/>
    </row>
    <row r="6" spans="1:29" ht="15.75" customHeight="1" thickBot="1" x14ac:dyDescent="0.35">
      <c r="A6" s="2"/>
      <c r="B6" s="170" t="s">
        <v>14</v>
      </c>
      <c r="C6" s="88"/>
      <c r="D6" s="88"/>
      <c r="E6" s="88"/>
      <c r="F6" s="76"/>
      <c r="G6" s="170" t="s">
        <v>15</v>
      </c>
      <c r="H6" s="76"/>
      <c r="I6" s="170" t="s">
        <v>16</v>
      </c>
      <c r="J6" s="76"/>
      <c r="K6" s="170" t="s">
        <v>17</v>
      </c>
      <c r="L6" s="76"/>
      <c r="M6" s="171" t="s">
        <v>18</v>
      </c>
      <c r="N6" s="142"/>
      <c r="O6" s="164" t="s">
        <v>19</v>
      </c>
      <c r="P6" s="165" t="s">
        <v>20</v>
      </c>
      <c r="Q6" s="85"/>
      <c r="R6" s="166" t="s">
        <v>21</v>
      </c>
      <c r="S6" s="86"/>
      <c r="T6" s="90" t="s">
        <v>22</v>
      </c>
      <c r="U6" s="168" t="s">
        <v>23</v>
      </c>
      <c r="V6" s="85"/>
      <c r="W6" s="85"/>
      <c r="X6" s="126" t="s">
        <v>24</v>
      </c>
      <c r="Y6" s="121"/>
      <c r="Z6" s="4"/>
      <c r="AA6" s="1"/>
      <c r="AB6" s="1"/>
      <c r="AC6" s="1"/>
    </row>
    <row r="7" spans="1:29" ht="30" customHeight="1" thickBot="1" x14ac:dyDescent="0.35">
      <c r="A7" s="2"/>
      <c r="B7" s="117" t="s">
        <v>25</v>
      </c>
      <c r="C7" s="119" t="s">
        <v>26</v>
      </c>
      <c r="D7" s="173" t="s">
        <v>27</v>
      </c>
      <c r="E7" s="88"/>
      <c r="F7" s="76"/>
      <c r="G7" s="82" t="s">
        <v>28</v>
      </c>
      <c r="H7" s="76"/>
      <c r="I7" s="9" t="s">
        <v>29</v>
      </c>
      <c r="J7" s="9" t="s">
        <v>30</v>
      </c>
      <c r="K7" s="10" t="s">
        <v>31</v>
      </c>
      <c r="L7" s="10" t="s">
        <v>32</v>
      </c>
      <c r="M7" s="72"/>
      <c r="N7" s="85"/>
      <c r="O7" s="118"/>
      <c r="P7" s="85"/>
      <c r="Q7" s="85"/>
      <c r="R7" s="132"/>
      <c r="S7" s="160"/>
      <c r="T7" s="167"/>
      <c r="U7" s="169" t="s">
        <v>33</v>
      </c>
      <c r="V7" s="76"/>
      <c r="W7" s="11" t="s">
        <v>34</v>
      </c>
      <c r="X7" s="127"/>
      <c r="Y7" s="121"/>
      <c r="Z7" s="4"/>
      <c r="AA7" s="1"/>
      <c r="AB7" s="1"/>
      <c r="AC7" s="1"/>
    </row>
    <row r="8" spans="1:29" thickBot="1" x14ac:dyDescent="0.35">
      <c r="A8" s="2"/>
      <c r="B8" s="118"/>
      <c r="C8" s="118"/>
      <c r="D8" s="11" t="s">
        <v>35</v>
      </c>
      <c r="E8" s="173" t="s">
        <v>99</v>
      </c>
      <c r="F8" s="76"/>
      <c r="G8" s="174">
        <f>((E9*1000)+(2300*5)+(2500*6)+(3850*4)+(2100*3))/1000</f>
        <v>241.80000000000004</v>
      </c>
      <c r="H8" s="112"/>
      <c r="I8" s="119">
        <v>1</v>
      </c>
      <c r="J8" s="119">
        <v>9</v>
      </c>
      <c r="K8" s="119" t="s">
        <v>36</v>
      </c>
      <c r="L8" s="119" t="s">
        <v>37</v>
      </c>
      <c r="M8" s="171">
        <v>30</v>
      </c>
      <c r="N8" s="142"/>
      <c r="O8" s="119" t="s">
        <v>38</v>
      </c>
      <c r="P8" s="171" t="s">
        <v>39</v>
      </c>
      <c r="Q8" s="112"/>
      <c r="R8" s="5" t="s">
        <v>40</v>
      </c>
      <c r="S8" s="12" t="s">
        <v>41</v>
      </c>
      <c r="T8" s="146" t="s">
        <v>42</v>
      </c>
      <c r="U8" s="117" t="s">
        <v>43</v>
      </c>
      <c r="V8" s="9" t="s">
        <v>29</v>
      </c>
      <c r="W8" s="9">
        <v>1</v>
      </c>
      <c r="X8" s="11" t="s">
        <v>44</v>
      </c>
      <c r="Y8" s="9">
        <v>1</v>
      </c>
      <c r="Z8" s="7"/>
      <c r="AA8" s="1"/>
      <c r="AB8" s="1"/>
      <c r="AC8" s="1"/>
    </row>
    <row r="9" spans="1:29" ht="14.4" x14ac:dyDescent="0.3">
      <c r="A9" s="2"/>
      <c r="B9" s="117">
        <v>484</v>
      </c>
      <c r="C9" s="119">
        <v>3</v>
      </c>
      <c r="D9" s="117">
        <v>0.4</v>
      </c>
      <c r="E9" s="71">
        <f>B9*D9</f>
        <v>193.60000000000002</v>
      </c>
      <c r="F9" s="112"/>
      <c r="G9" s="72"/>
      <c r="H9" s="157"/>
      <c r="I9" s="130"/>
      <c r="J9" s="130"/>
      <c r="K9" s="130"/>
      <c r="L9" s="130"/>
      <c r="M9" s="72"/>
      <c r="N9" s="85"/>
      <c r="O9" s="130"/>
      <c r="P9" s="72"/>
      <c r="Q9" s="157"/>
      <c r="R9" s="117">
        <v>13.2</v>
      </c>
      <c r="S9" s="119" t="s">
        <v>45</v>
      </c>
      <c r="T9" s="85"/>
      <c r="U9" s="130"/>
      <c r="V9" s="9" t="s">
        <v>46</v>
      </c>
      <c r="W9" s="9">
        <v>2.4</v>
      </c>
      <c r="X9" s="172" t="s">
        <v>47</v>
      </c>
      <c r="Y9" s="117">
        <v>2.5</v>
      </c>
      <c r="Z9" s="7"/>
      <c r="AA9" s="1"/>
      <c r="AB9" s="1"/>
      <c r="AC9" s="1"/>
    </row>
    <row r="10" spans="1:29" ht="15.75" customHeight="1" x14ac:dyDescent="0.3">
      <c r="A10" s="2"/>
      <c r="B10" s="118"/>
      <c r="C10" s="118"/>
      <c r="D10" s="118"/>
      <c r="E10" s="132"/>
      <c r="F10" s="81"/>
      <c r="G10" s="132"/>
      <c r="H10" s="81"/>
      <c r="I10" s="118"/>
      <c r="J10" s="118"/>
      <c r="K10" s="118"/>
      <c r="L10" s="118"/>
      <c r="M10" s="132"/>
      <c r="N10" s="160"/>
      <c r="O10" s="118"/>
      <c r="P10" s="132"/>
      <c r="Q10" s="81"/>
      <c r="R10" s="118"/>
      <c r="S10" s="118"/>
      <c r="T10" s="134"/>
      <c r="U10" s="118"/>
      <c r="V10" s="9" t="s">
        <v>48</v>
      </c>
      <c r="W10" s="9" t="s">
        <v>49</v>
      </c>
      <c r="X10" s="118"/>
      <c r="Y10" s="118"/>
      <c r="Z10" s="7"/>
      <c r="AA10" s="1"/>
      <c r="AB10" s="1"/>
      <c r="AC10" s="1"/>
    </row>
    <row r="11" spans="1:29" ht="16.5" customHeight="1" x14ac:dyDescent="0.3">
      <c r="A11" s="14"/>
      <c r="B11" s="120" t="s">
        <v>50</v>
      </c>
      <c r="C11" s="123" t="s">
        <v>51</v>
      </c>
      <c r="D11" s="126" t="s">
        <v>98</v>
      </c>
      <c r="E11" s="85"/>
      <c r="F11" s="121"/>
      <c r="G11" s="126" t="s">
        <v>52</v>
      </c>
      <c r="H11" s="129" t="s">
        <v>97</v>
      </c>
      <c r="I11" s="140" t="s">
        <v>53</v>
      </c>
      <c r="J11" s="142"/>
      <c r="K11" s="142"/>
      <c r="L11" s="112"/>
      <c r="M11" s="175" t="s">
        <v>54</v>
      </c>
      <c r="N11" s="85"/>
      <c r="O11" s="85"/>
      <c r="P11" s="85"/>
      <c r="Q11" s="121"/>
      <c r="R11" s="170" t="s">
        <v>55</v>
      </c>
      <c r="S11" s="88"/>
      <c r="T11" s="76"/>
      <c r="U11" s="176" t="s">
        <v>56</v>
      </c>
      <c r="V11" s="134"/>
      <c r="W11" s="134"/>
      <c r="X11" s="134"/>
      <c r="Y11" s="122"/>
      <c r="Z11" s="4"/>
      <c r="AA11" s="1"/>
      <c r="AB11" s="1"/>
      <c r="AC11" s="1"/>
    </row>
    <row r="12" spans="1:29" ht="15.75" customHeight="1" thickTop="1" x14ac:dyDescent="0.3">
      <c r="A12" s="14"/>
      <c r="B12" s="121"/>
      <c r="C12" s="124"/>
      <c r="D12" s="127"/>
      <c r="E12" s="85"/>
      <c r="F12" s="121"/>
      <c r="G12" s="127"/>
      <c r="H12" s="130"/>
      <c r="I12" s="140" t="s">
        <v>57</v>
      </c>
      <c r="J12" s="112"/>
      <c r="K12" s="140" t="s">
        <v>58</v>
      </c>
      <c r="L12" s="112"/>
      <c r="M12" s="141" t="s">
        <v>59</v>
      </c>
      <c r="N12" s="142"/>
      <c r="O12" s="15" t="s">
        <v>60</v>
      </c>
      <c r="P12" s="71" t="s">
        <v>61</v>
      </c>
      <c r="Q12" s="112"/>
      <c r="R12" s="117" t="s">
        <v>62</v>
      </c>
      <c r="S12" s="117" t="s">
        <v>63</v>
      </c>
      <c r="T12" s="117" t="s">
        <v>64</v>
      </c>
      <c r="U12" s="146" t="s">
        <v>65</v>
      </c>
      <c r="V12" s="85"/>
      <c r="W12" s="117" t="s">
        <v>47</v>
      </c>
      <c r="X12" s="177" t="s">
        <v>66</v>
      </c>
      <c r="Y12" s="79"/>
      <c r="Z12" s="4"/>
      <c r="AA12" s="1"/>
      <c r="AB12" s="1"/>
      <c r="AC12" s="1"/>
    </row>
    <row r="13" spans="1:29" ht="15.75" customHeight="1" thickBot="1" x14ac:dyDescent="0.35">
      <c r="A13" s="14"/>
      <c r="B13" s="122"/>
      <c r="C13" s="125"/>
      <c r="D13" s="128"/>
      <c r="E13" s="134"/>
      <c r="F13" s="122"/>
      <c r="G13" s="128"/>
      <c r="H13" s="130"/>
      <c r="I13" s="132"/>
      <c r="J13" s="81"/>
      <c r="K13" s="132"/>
      <c r="L13" s="81"/>
      <c r="M13" s="50" t="s">
        <v>29</v>
      </c>
      <c r="N13" s="50" t="s">
        <v>67</v>
      </c>
      <c r="O13" s="51" t="s">
        <v>67</v>
      </c>
      <c r="P13" s="8" t="s">
        <v>68</v>
      </c>
      <c r="Q13" s="16" t="s">
        <v>69</v>
      </c>
      <c r="R13" s="130"/>
      <c r="S13" s="130"/>
      <c r="T13" s="130"/>
      <c r="U13" s="134"/>
      <c r="V13" s="134"/>
      <c r="W13" s="118"/>
      <c r="X13" s="134"/>
      <c r="Y13" s="122"/>
      <c r="Z13" s="4"/>
      <c r="AA13" s="1"/>
      <c r="AB13" s="1"/>
      <c r="AC13" s="1"/>
    </row>
    <row r="14" spans="1:29" ht="15.75" customHeight="1" thickTop="1" thickBot="1" x14ac:dyDescent="0.35">
      <c r="A14" s="14"/>
      <c r="B14" s="133" t="s">
        <v>70</v>
      </c>
      <c r="C14" s="17" t="s">
        <v>71</v>
      </c>
      <c r="D14" s="109">
        <v>1.7000000000000001E-2</v>
      </c>
      <c r="E14" s="110"/>
      <c r="F14" s="135"/>
      <c r="G14" s="67">
        <v>28630</v>
      </c>
      <c r="H14" s="42">
        <f>(G14/2)*D14</f>
        <v>243.35500000000002</v>
      </c>
      <c r="I14" s="114">
        <f>(G14/240)</f>
        <v>119.29166666666667</v>
      </c>
      <c r="J14" s="112"/>
      <c r="K14" s="143">
        <f t="shared" ref="K14:K41" si="0">I14*1.25</f>
        <v>149.11458333333334</v>
      </c>
      <c r="L14" s="142"/>
      <c r="M14" s="52">
        <v>1</v>
      </c>
      <c r="N14" s="53" t="s">
        <v>72</v>
      </c>
      <c r="O14" s="54" t="s">
        <v>73</v>
      </c>
      <c r="P14" s="36">
        <v>0.85499999999999998</v>
      </c>
      <c r="Q14" s="35">
        <v>0.17499999999999999</v>
      </c>
      <c r="R14" s="44">
        <f>(P14*0.9 + Q14*SIN(ACOS(0.9))) / (120^2)</f>
        <v>5.8734773021664011E-5</v>
      </c>
      <c r="S14" s="45">
        <f>(H14*R14)*100</f>
        <v>1.4293400688687046</v>
      </c>
      <c r="T14" s="46">
        <f>S14</f>
        <v>1.4293400688687046</v>
      </c>
      <c r="U14" s="144">
        <f>P14/((120^2)*0.9)</f>
        <v>6.5972222222222216E-5</v>
      </c>
      <c r="V14" s="116"/>
      <c r="W14" s="21">
        <f>(U14*H14)*100</f>
        <v>1.6054670138888889</v>
      </c>
      <c r="X14" s="78">
        <f>(G14*0.9)</f>
        <v>25767</v>
      </c>
      <c r="Y14" s="79"/>
      <c r="Z14" s="1"/>
      <c r="AA14" s="1"/>
      <c r="AB14" s="1"/>
      <c r="AC14" s="1"/>
    </row>
    <row r="15" spans="1:29" ht="15.6" thickTop="1" thickBot="1" x14ac:dyDescent="0.35">
      <c r="A15" s="14"/>
      <c r="B15" s="124"/>
      <c r="C15" s="22" t="s">
        <v>74</v>
      </c>
      <c r="D15" s="103">
        <v>2.5000000000000001E-2</v>
      </c>
      <c r="E15" s="104"/>
      <c r="F15" s="131"/>
      <c r="G15" s="65">
        <v>24090</v>
      </c>
      <c r="H15" s="43">
        <f>(G15/2)*D15</f>
        <v>301.125</v>
      </c>
      <c r="I15" s="114">
        <f>(G15/240)</f>
        <v>100.375</v>
      </c>
      <c r="J15" s="112"/>
      <c r="K15" s="143">
        <f t="shared" si="0"/>
        <v>125.46875</v>
      </c>
      <c r="L15" s="142"/>
      <c r="M15" s="55">
        <v>1</v>
      </c>
      <c r="N15" s="37" t="s">
        <v>72</v>
      </c>
      <c r="O15" s="56" t="s">
        <v>73</v>
      </c>
      <c r="P15" s="36">
        <v>0.85499999999999998</v>
      </c>
      <c r="Q15" s="35">
        <v>0.17499999999999999</v>
      </c>
      <c r="R15" s="47">
        <f t="shared" ref="R15:R42" si="1">(P15*0.9 + Q15*SIN(ACOS(0.9))) / (120^2)</f>
        <v>5.8734773021664011E-5</v>
      </c>
      <c r="S15" s="48">
        <f t="shared" ref="S15:S75" si="2">(H15*R15)*100</f>
        <v>1.7686508526148577</v>
      </c>
      <c r="T15" s="49">
        <f>T14+S15</f>
        <v>3.1979909214835622</v>
      </c>
      <c r="U15" s="144">
        <f t="shared" ref="U15:U75" si="3">P15/((120^2)*0.9)</f>
        <v>6.5972222222222216E-5</v>
      </c>
      <c r="V15" s="116"/>
      <c r="W15" s="21">
        <f t="shared" ref="W15:W75" si="4">(U15*H15)*100</f>
        <v>1.9865885416666667</v>
      </c>
      <c r="X15" s="78">
        <f>(G15*0.9)</f>
        <v>21681</v>
      </c>
      <c r="Y15" s="79"/>
      <c r="Z15" s="7"/>
      <c r="AA15" s="1"/>
      <c r="AB15" s="1"/>
      <c r="AC15" s="1"/>
    </row>
    <row r="16" spans="1:29" ht="15.6" thickTop="1" thickBot="1" x14ac:dyDescent="0.35">
      <c r="A16" s="14"/>
      <c r="B16" s="124"/>
      <c r="C16" s="22" t="s">
        <v>75</v>
      </c>
      <c r="D16" s="103">
        <v>2.9000000000000001E-2</v>
      </c>
      <c r="E16" s="104"/>
      <c r="F16" s="131"/>
      <c r="G16" s="65">
        <v>23600</v>
      </c>
      <c r="H16" s="43">
        <f t="shared" ref="H16:H75" si="5">(G16/2)*D16</f>
        <v>342.20000000000005</v>
      </c>
      <c r="I16" s="114">
        <f t="shared" ref="I16:I75" si="6">(G16/240)</f>
        <v>98.333333333333329</v>
      </c>
      <c r="J16" s="112"/>
      <c r="K16" s="143">
        <f t="shared" si="0"/>
        <v>122.91666666666666</v>
      </c>
      <c r="L16" s="142"/>
      <c r="M16" s="55">
        <v>1</v>
      </c>
      <c r="N16" s="37" t="s">
        <v>72</v>
      </c>
      <c r="O16" s="56" t="s">
        <v>73</v>
      </c>
      <c r="P16" s="36">
        <v>0.85499999999999998</v>
      </c>
      <c r="Q16" s="35">
        <v>0.17499999999999999</v>
      </c>
      <c r="R16" s="47">
        <f t="shared" si="1"/>
        <v>5.8734773021664011E-5</v>
      </c>
      <c r="S16" s="48">
        <f t="shared" si="2"/>
        <v>2.0099039328013428</v>
      </c>
      <c r="T16" s="49">
        <f>T15+S16</f>
        <v>5.2078948542849055</v>
      </c>
      <c r="U16" s="144">
        <f t="shared" si="3"/>
        <v>6.5972222222222216E-5</v>
      </c>
      <c r="V16" s="116"/>
      <c r="W16" s="21">
        <f t="shared" si="4"/>
        <v>2.2575694444444445</v>
      </c>
      <c r="X16" s="78">
        <f t="shared" ref="X16:X75" si="7">(G16*0.9)</f>
        <v>21240</v>
      </c>
      <c r="Y16" s="79"/>
      <c r="Z16" s="7"/>
      <c r="AA16" s="1"/>
      <c r="AB16" s="1"/>
      <c r="AC16" s="1"/>
    </row>
    <row r="17" spans="1:29" ht="15.75" customHeight="1" thickTop="1" thickBot="1" x14ac:dyDescent="0.35">
      <c r="A17" s="14"/>
      <c r="B17" s="124"/>
      <c r="C17" s="22" t="s">
        <v>76</v>
      </c>
      <c r="D17" s="103">
        <v>2.3E-2</v>
      </c>
      <c r="E17" s="104"/>
      <c r="F17" s="131"/>
      <c r="G17" s="65">
        <v>23030</v>
      </c>
      <c r="H17" s="43">
        <f t="shared" si="5"/>
        <v>264.84499999999997</v>
      </c>
      <c r="I17" s="114">
        <f t="shared" si="6"/>
        <v>95.958333333333329</v>
      </c>
      <c r="J17" s="112"/>
      <c r="K17" s="143">
        <f t="shared" si="0"/>
        <v>119.94791666666666</v>
      </c>
      <c r="L17" s="142"/>
      <c r="M17" s="55">
        <v>1</v>
      </c>
      <c r="N17" s="37" t="s">
        <v>72</v>
      </c>
      <c r="O17" s="56" t="s">
        <v>73</v>
      </c>
      <c r="P17" s="36">
        <v>0.85499999999999998</v>
      </c>
      <c r="Q17" s="35">
        <v>0.17499999999999999</v>
      </c>
      <c r="R17" s="47">
        <f t="shared" si="1"/>
        <v>5.8734773021664011E-5</v>
      </c>
      <c r="S17" s="48">
        <f t="shared" si="2"/>
        <v>1.5555610960922603</v>
      </c>
      <c r="T17" s="49">
        <f>T16+S17</f>
        <v>6.7634559503771658</v>
      </c>
      <c r="U17" s="144">
        <f t="shared" si="3"/>
        <v>6.5972222222222216E-5</v>
      </c>
      <c r="V17" s="178"/>
      <c r="W17" s="21">
        <f t="shared" si="4"/>
        <v>1.7472413194444443</v>
      </c>
      <c r="X17" s="78">
        <f t="shared" si="7"/>
        <v>20727</v>
      </c>
      <c r="Y17" s="79"/>
      <c r="Z17" s="7"/>
      <c r="AA17" s="26"/>
      <c r="AB17" s="27"/>
      <c r="AC17" s="1"/>
    </row>
    <row r="18" spans="1:29" ht="15.75" customHeight="1" thickTop="1" thickBot="1" x14ac:dyDescent="0.35">
      <c r="A18" s="14"/>
      <c r="B18" s="124"/>
      <c r="C18" s="22" t="s">
        <v>89</v>
      </c>
      <c r="D18" s="103">
        <v>0.03</v>
      </c>
      <c r="E18" s="104"/>
      <c r="F18" s="131"/>
      <c r="G18" s="65">
        <v>16340</v>
      </c>
      <c r="H18" s="43">
        <f t="shared" si="5"/>
        <v>245.1</v>
      </c>
      <c r="I18" s="114">
        <f t="shared" si="6"/>
        <v>68.083333333333329</v>
      </c>
      <c r="J18" s="112"/>
      <c r="K18" s="143">
        <f t="shared" si="0"/>
        <v>85.104166666666657</v>
      </c>
      <c r="L18" s="142"/>
      <c r="M18" s="55">
        <v>1</v>
      </c>
      <c r="N18" s="37" t="s">
        <v>72</v>
      </c>
      <c r="O18" s="56" t="s">
        <v>73</v>
      </c>
      <c r="P18" s="36">
        <v>0.85499999999999998</v>
      </c>
      <c r="Q18" s="35">
        <v>0.17499999999999999</v>
      </c>
      <c r="R18" s="47">
        <f t="shared" si="1"/>
        <v>5.8734773021664011E-5</v>
      </c>
      <c r="S18" s="48">
        <f t="shared" si="2"/>
        <v>1.439589286760985</v>
      </c>
      <c r="T18" s="49">
        <f>T17+S18</f>
        <v>8.2030452371381504</v>
      </c>
      <c r="U18" s="144">
        <f t="shared" si="3"/>
        <v>6.5972222222222216E-5</v>
      </c>
      <c r="V18" s="116"/>
      <c r="W18" s="21">
        <f t="shared" si="4"/>
        <v>1.6169791666666666</v>
      </c>
      <c r="X18" s="78">
        <f t="shared" si="7"/>
        <v>14706</v>
      </c>
      <c r="Y18" s="79"/>
      <c r="Z18" s="7"/>
      <c r="AA18" s="26"/>
      <c r="AB18" s="27"/>
      <c r="AC18" s="1"/>
    </row>
    <row r="19" spans="1:29" ht="15.75" customHeight="1" thickTop="1" thickBot="1" x14ac:dyDescent="0.35">
      <c r="A19" s="14"/>
      <c r="B19" s="124"/>
      <c r="C19" s="22" t="s">
        <v>78</v>
      </c>
      <c r="D19" s="103">
        <v>2.1999999999999999E-2</v>
      </c>
      <c r="E19" s="104"/>
      <c r="F19" s="131"/>
      <c r="G19" s="65">
        <v>11180</v>
      </c>
      <c r="H19" s="43">
        <f t="shared" si="5"/>
        <v>122.97999999999999</v>
      </c>
      <c r="I19" s="114">
        <f t="shared" si="6"/>
        <v>46.583333333333336</v>
      </c>
      <c r="J19" s="112"/>
      <c r="K19" s="143">
        <f t="shared" si="0"/>
        <v>58.229166666666671</v>
      </c>
      <c r="L19" s="142"/>
      <c r="M19" s="55">
        <v>1</v>
      </c>
      <c r="N19" s="37" t="s">
        <v>72</v>
      </c>
      <c r="O19" s="56" t="s">
        <v>73</v>
      </c>
      <c r="P19" s="36">
        <v>0.85499999999999998</v>
      </c>
      <c r="Q19" s="35">
        <v>0.17499999999999999</v>
      </c>
      <c r="R19" s="47">
        <f t="shared" si="1"/>
        <v>5.8734773021664011E-5</v>
      </c>
      <c r="S19" s="48">
        <f t="shared" si="2"/>
        <v>0.72232023862042394</v>
      </c>
      <c r="T19" s="49">
        <f>T15+S19</f>
        <v>3.9203111601039859</v>
      </c>
      <c r="U19" s="144">
        <f t="shared" si="3"/>
        <v>6.5972222222222216E-5</v>
      </c>
      <c r="V19" s="116"/>
      <c r="W19" s="21">
        <f t="shared" si="4"/>
        <v>0.81132638888888864</v>
      </c>
      <c r="X19" s="78">
        <f t="shared" si="7"/>
        <v>10062</v>
      </c>
      <c r="Y19" s="79"/>
      <c r="Z19" s="7"/>
      <c r="AA19" s="26"/>
      <c r="AB19" s="27"/>
      <c r="AC19" s="1"/>
    </row>
    <row r="20" spans="1:29" ht="15.75" customHeight="1" thickTop="1" thickBot="1" x14ac:dyDescent="0.35">
      <c r="A20" s="14"/>
      <c r="B20" s="124"/>
      <c r="C20" s="22" t="s">
        <v>85</v>
      </c>
      <c r="D20" s="103">
        <v>2.5999999999999999E-2</v>
      </c>
      <c r="E20" s="104"/>
      <c r="F20" s="131"/>
      <c r="G20" s="65">
        <v>5554</v>
      </c>
      <c r="H20" s="43">
        <f t="shared" si="5"/>
        <v>72.201999999999998</v>
      </c>
      <c r="I20" s="114">
        <f t="shared" si="6"/>
        <v>23.141666666666666</v>
      </c>
      <c r="J20" s="112"/>
      <c r="K20" s="143">
        <f t="shared" si="0"/>
        <v>28.927083333333332</v>
      </c>
      <c r="L20" s="142"/>
      <c r="M20" s="55">
        <v>1</v>
      </c>
      <c r="N20" s="37" t="s">
        <v>72</v>
      </c>
      <c r="O20" s="56" t="s">
        <v>73</v>
      </c>
      <c r="P20" s="36">
        <v>0.85499999999999998</v>
      </c>
      <c r="Q20" s="35">
        <v>0.17499999999999999</v>
      </c>
      <c r="R20" s="47">
        <f t="shared" si="1"/>
        <v>5.8734773021664011E-5</v>
      </c>
      <c r="S20" s="48">
        <f t="shared" si="2"/>
        <v>0.42407680817101845</v>
      </c>
      <c r="T20" s="49">
        <f>S20</f>
        <v>0.42407680817101845</v>
      </c>
      <c r="U20" s="144">
        <f t="shared" si="3"/>
        <v>6.5972222222222216E-5</v>
      </c>
      <c r="V20" s="116"/>
      <c r="W20" s="21">
        <f t="shared" si="4"/>
        <v>0.47633263888888883</v>
      </c>
      <c r="X20" s="78">
        <f t="shared" si="7"/>
        <v>4998.6000000000004</v>
      </c>
      <c r="Y20" s="79"/>
      <c r="Z20" s="7"/>
      <c r="AA20" s="26"/>
      <c r="AB20" s="27"/>
      <c r="AC20" s="1"/>
    </row>
    <row r="21" spans="1:29" ht="15.75" customHeight="1" thickTop="1" thickBot="1" x14ac:dyDescent="0.35">
      <c r="A21" s="14"/>
      <c r="B21" s="124"/>
      <c r="C21" s="22" t="s">
        <v>96</v>
      </c>
      <c r="D21" s="103">
        <v>2.9000000000000001E-2</v>
      </c>
      <c r="E21" s="104"/>
      <c r="F21" s="131"/>
      <c r="G21" s="65">
        <v>13860</v>
      </c>
      <c r="H21" s="43">
        <f t="shared" si="5"/>
        <v>200.97</v>
      </c>
      <c r="I21" s="114">
        <f t="shared" si="6"/>
        <v>57.75</v>
      </c>
      <c r="J21" s="112"/>
      <c r="K21" s="143">
        <f t="shared" si="0"/>
        <v>72.1875</v>
      </c>
      <c r="L21" s="142"/>
      <c r="M21" s="55">
        <v>1</v>
      </c>
      <c r="N21" s="37" t="s">
        <v>72</v>
      </c>
      <c r="O21" s="56" t="s">
        <v>73</v>
      </c>
      <c r="P21" s="36">
        <v>0.85499999999999998</v>
      </c>
      <c r="Q21" s="35">
        <v>0.17499999999999999</v>
      </c>
      <c r="R21" s="47">
        <f t="shared" si="1"/>
        <v>5.8734773021664011E-5</v>
      </c>
      <c r="S21" s="48">
        <f t="shared" si="2"/>
        <v>1.1803927334163817</v>
      </c>
      <c r="T21" s="49">
        <f>S21</f>
        <v>1.1803927334163817</v>
      </c>
      <c r="U21" s="144">
        <f t="shared" si="3"/>
        <v>6.5972222222222216E-5</v>
      </c>
      <c r="V21" s="116"/>
      <c r="W21" s="21">
        <f t="shared" si="4"/>
        <v>1.32584375</v>
      </c>
      <c r="X21" s="78">
        <f t="shared" si="7"/>
        <v>12474</v>
      </c>
      <c r="Y21" s="79"/>
      <c r="Z21" s="7"/>
      <c r="AA21" s="26"/>
      <c r="AB21" s="27"/>
      <c r="AC21" s="1"/>
    </row>
    <row r="22" spans="1:29" ht="15.75" customHeight="1" thickTop="1" thickBot="1" x14ac:dyDescent="0.35">
      <c r="A22" s="14"/>
      <c r="B22" s="124"/>
      <c r="C22" s="22" t="s">
        <v>81</v>
      </c>
      <c r="D22" s="103">
        <v>4.4999999999999998E-2</v>
      </c>
      <c r="E22" s="104"/>
      <c r="F22" s="131"/>
      <c r="G22" s="65">
        <v>7453</v>
      </c>
      <c r="H22" s="43">
        <f t="shared" si="5"/>
        <v>167.6925</v>
      </c>
      <c r="I22" s="114">
        <f t="shared" si="6"/>
        <v>31.054166666666667</v>
      </c>
      <c r="J22" s="112"/>
      <c r="K22" s="143">
        <f t="shared" si="0"/>
        <v>38.817708333333336</v>
      </c>
      <c r="L22" s="142"/>
      <c r="M22" s="55">
        <v>1</v>
      </c>
      <c r="N22" s="37" t="s">
        <v>72</v>
      </c>
      <c r="O22" s="56" t="s">
        <v>73</v>
      </c>
      <c r="P22" s="36">
        <v>0.85499999999999998</v>
      </c>
      <c r="Q22" s="35">
        <v>0.17499999999999999</v>
      </c>
      <c r="R22" s="47">
        <f t="shared" si="1"/>
        <v>5.8734773021664011E-5</v>
      </c>
      <c r="S22" s="48">
        <f t="shared" si="2"/>
        <v>0.98493809249353914</v>
      </c>
      <c r="T22" s="49">
        <f>T21+S22</f>
        <v>2.1653308259099209</v>
      </c>
      <c r="U22" s="144">
        <f t="shared" si="3"/>
        <v>6.5972222222222216E-5</v>
      </c>
      <c r="V22" s="116"/>
      <c r="W22" s="21">
        <f t="shared" si="4"/>
        <v>1.1063046875</v>
      </c>
      <c r="X22" s="78">
        <f t="shared" si="7"/>
        <v>6707.7</v>
      </c>
      <c r="Y22" s="79"/>
      <c r="Z22" s="7"/>
      <c r="AA22" s="26"/>
      <c r="AB22" s="27"/>
      <c r="AC22" s="1"/>
    </row>
    <row r="23" spans="1:29" ht="15.6" customHeight="1" thickTop="1" thickBot="1" x14ac:dyDescent="0.35">
      <c r="A23" s="14"/>
      <c r="B23" s="124"/>
      <c r="C23" s="22" t="s">
        <v>103</v>
      </c>
      <c r="D23" s="103">
        <v>3.1E-2</v>
      </c>
      <c r="E23" s="104"/>
      <c r="F23" s="131"/>
      <c r="G23" s="65">
        <v>4098</v>
      </c>
      <c r="H23" s="43">
        <f t="shared" si="5"/>
        <v>63.518999999999998</v>
      </c>
      <c r="I23" s="114">
        <f t="shared" si="6"/>
        <v>17.074999999999999</v>
      </c>
      <c r="J23" s="112"/>
      <c r="K23" s="143">
        <f t="shared" si="0"/>
        <v>21.34375</v>
      </c>
      <c r="L23" s="142"/>
      <c r="M23" s="55">
        <v>1</v>
      </c>
      <c r="N23" s="37" t="s">
        <v>72</v>
      </c>
      <c r="O23" s="56" t="s">
        <v>73</v>
      </c>
      <c r="P23" s="36">
        <v>0.85499999999999998</v>
      </c>
      <c r="Q23" s="35">
        <v>0.17499999999999999</v>
      </c>
      <c r="R23" s="47">
        <f t="shared" si="1"/>
        <v>5.8734773021664011E-5</v>
      </c>
      <c r="S23" s="48">
        <f t="shared" si="2"/>
        <v>0.37307740475630763</v>
      </c>
      <c r="T23" s="49">
        <f>T22+S23</f>
        <v>2.5384082306662283</v>
      </c>
      <c r="U23" s="144">
        <f t="shared" si="3"/>
        <v>6.5972222222222216E-5</v>
      </c>
      <c r="V23" s="116"/>
      <c r="W23" s="21">
        <f t="shared" si="4"/>
        <v>0.41904895833333328</v>
      </c>
      <c r="X23" s="78">
        <f t="shared" si="7"/>
        <v>3688.2000000000003</v>
      </c>
      <c r="Y23" s="79"/>
      <c r="Z23" s="7"/>
      <c r="AA23" s="26"/>
      <c r="AB23" s="27"/>
      <c r="AC23" s="1"/>
    </row>
    <row r="24" spans="1:29" ht="15.75" customHeight="1" thickTop="1" thickBot="1" x14ac:dyDescent="0.35">
      <c r="A24" s="14"/>
      <c r="B24" s="147" t="s">
        <v>83</v>
      </c>
      <c r="C24" s="61" t="s">
        <v>71</v>
      </c>
      <c r="D24" s="109">
        <v>2.5000000000000001E-2</v>
      </c>
      <c r="E24" s="110"/>
      <c r="F24" s="110"/>
      <c r="G24" s="68">
        <v>29663</v>
      </c>
      <c r="H24" s="42">
        <f t="shared" si="5"/>
        <v>370.78750000000002</v>
      </c>
      <c r="I24" s="114">
        <f t="shared" si="6"/>
        <v>123.59583333333333</v>
      </c>
      <c r="J24" s="112"/>
      <c r="K24" s="143">
        <f t="shared" si="0"/>
        <v>154.49479166666666</v>
      </c>
      <c r="L24" s="112"/>
      <c r="M24" s="6">
        <v>1</v>
      </c>
      <c r="N24" s="23" t="s">
        <v>72</v>
      </c>
      <c r="O24" s="24" t="s">
        <v>73</v>
      </c>
      <c r="P24" s="9">
        <v>0.85499999999999998</v>
      </c>
      <c r="Q24" s="9">
        <v>0.17499999999999999</v>
      </c>
      <c r="R24" s="19">
        <f t="shared" si="1"/>
        <v>5.8734773021664011E-5</v>
      </c>
      <c r="S24" s="20">
        <f t="shared" si="2"/>
        <v>2.1778119651770247</v>
      </c>
      <c r="T24" s="25">
        <f>S24</f>
        <v>2.1778119651770247</v>
      </c>
      <c r="U24" s="145">
        <f t="shared" si="3"/>
        <v>6.5972222222222216E-5</v>
      </c>
      <c r="V24" s="116"/>
      <c r="W24" s="21">
        <f t="shared" si="4"/>
        <v>2.446167534722222</v>
      </c>
      <c r="X24" s="78">
        <f t="shared" si="7"/>
        <v>26696.7</v>
      </c>
      <c r="Y24" s="79"/>
      <c r="Z24" s="7"/>
      <c r="AA24" s="1"/>
      <c r="AB24" s="1"/>
      <c r="AC24" s="1"/>
    </row>
    <row r="25" spans="1:29" ht="15.6" thickTop="1" thickBot="1" x14ac:dyDescent="0.35">
      <c r="A25" s="14"/>
      <c r="B25" s="127"/>
      <c r="C25" s="62" t="s">
        <v>74</v>
      </c>
      <c r="D25" s="103">
        <v>1.2999999999999999E-2</v>
      </c>
      <c r="E25" s="104"/>
      <c r="F25" s="105"/>
      <c r="G25" s="39">
        <v>23419</v>
      </c>
      <c r="H25" s="43">
        <f t="shared" si="5"/>
        <v>152.2235</v>
      </c>
      <c r="I25" s="114">
        <f t="shared" si="6"/>
        <v>97.579166666666666</v>
      </c>
      <c r="J25" s="112"/>
      <c r="K25" s="143">
        <f t="shared" si="0"/>
        <v>121.97395833333333</v>
      </c>
      <c r="L25" s="112"/>
      <c r="M25" s="6">
        <v>1</v>
      </c>
      <c r="N25" s="23" t="s">
        <v>72</v>
      </c>
      <c r="O25" s="24" t="s">
        <v>73</v>
      </c>
      <c r="P25" s="9">
        <v>0.85499999999999998</v>
      </c>
      <c r="Q25" s="9">
        <v>0.17499999999999999</v>
      </c>
      <c r="R25" s="19">
        <f t="shared" si="1"/>
        <v>5.8734773021664011E-5</v>
      </c>
      <c r="S25" s="20">
        <f t="shared" si="2"/>
        <v>0.89408127210632715</v>
      </c>
      <c r="T25" s="25">
        <f>S25+T24</f>
        <v>3.0718932372833518</v>
      </c>
      <c r="U25" s="145">
        <f t="shared" si="3"/>
        <v>6.5972222222222216E-5</v>
      </c>
      <c r="V25" s="116"/>
      <c r="W25" s="21">
        <f t="shared" si="4"/>
        <v>1.0042522569444443</v>
      </c>
      <c r="X25" s="78">
        <f t="shared" si="7"/>
        <v>21077.100000000002</v>
      </c>
      <c r="Y25" s="79"/>
      <c r="Z25" s="7"/>
      <c r="AA25" s="1"/>
      <c r="AB25" s="1"/>
      <c r="AC25" s="1"/>
    </row>
    <row r="26" spans="1:29" ht="15.6" thickTop="1" thickBot="1" x14ac:dyDescent="0.35">
      <c r="A26" s="14"/>
      <c r="B26" s="127"/>
      <c r="C26" s="62" t="s">
        <v>75</v>
      </c>
      <c r="D26" s="103">
        <v>1.4999999999999999E-2</v>
      </c>
      <c r="E26" s="104"/>
      <c r="F26" s="105"/>
      <c r="G26" s="39">
        <v>23174</v>
      </c>
      <c r="H26" s="43">
        <f t="shared" si="5"/>
        <v>173.80500000000001</v>
      </c>
      <c r="I26" s="114">
        <f t="shared" si="6"/>
        <v>96.558333333333337</v>
      </c>
      <c r="J26" s="112"/>
      <c r="K26" s="143">
        <f t="shared" si="0"/>
        <v>120.69791666666667</v>
      </c>
      <c r="L26" s="112"/>
      <c r="M26" s="6">
        <v>1</v>
      </c>
      <c r="N26" s="23" t="s">
        <v>72</v>
      </c>
      <c r="O26" s="24" t="s">
        <v>73</v>
      </c>
      <c r="P26" s="9">
        <v>0.85499999999999998</v>
      </c>
      <c r="Q26" s="9">
        <v>0.17499999999999999</v>
      </c>
      <c r="R26" s="19">
        <f t="shared" si="1"/>
        <v>5.8734773021664011E-5</v>
      </c>
      <c r="S26" s="20">
        <f t="shared" si="2"/>
        <v>1.0208397225030312</v>
      </c>
      <c r="T26" s="25">
        <f>T25+S26</f>
        <v>4.0927329597863835</v>
      </c>
      <c r="U26" s="145">
        <f t="shared" si="3"/>
        <v>6.5972222222222216E-5</v>
      </c>
      <c r="V26" s="116"/>
      <c r="W26" s="21">
        <f t="shared" si="4"/>
        <v>1.1466302083333333</v>
      </c>
      <c r="X26" s="78">
        <f t="shared" si="7"/>
        <v>20856.600000000002</v>
      </c>
      <c r="Y26" s="79"/>
      <c r="Z26" s="7"/>
      <c r="AA26" s="26"/>
      <c r="AB26" s="28"/>
      <c r="AC26" s="1"/>
    </row>
    <row r="27" spans="1:29" ht="15.75" customHeight="1" thickTop="1" thickBot="1" x14ac:dyDescent="0.35">
      <c r="A27" s="14"/>
      <c r="B27" s="127"/>
      <c r="C27" s="62" t="s">
        <v>76</v>
      </c>
      <c r="D27" s="103">
        <v>2.7E-2</v>
      </c>
      <c r="E27" s="104"/>
      <c r="F27" s="105"/>
      <c r="G27" s="39">
        <v>22891</v>
      </c>
      <c r="H27" s="43">
        <f t="shared" si="5"/>
        <v>309.02850000000001</v>
      </c>
      <c r="I27" s="114">
        <f t="shared" si="6"/>
        <v>95.379166666666663</v>
      </c>
      <c r="J27" s="112"/>
      <c r="K27" s="143">
        <f t="shared" si="0"/>
        <v>119.22395833333333</v>
      </c>
      <c r="L27" s="112"/>
      <c r="M27" s="6">
        <v>1</v>
      </c>
      <c r="N27" s="23" t="s">
        <v>72</v>
      </c>
      <c r="O27" s="24" t="s">
        <v>73</v>
      </c>
      <c r="P27" s="9">
        <v>0.85499999999999998</v>
      </c>
      <c r="Q27" s="9">
        <v>0.17499999999999999</v>
      </c>
      <c r="R27" s="19">
        <f t="shared" si="1"/>
        <v>5.8734773021664011E-5</v>
      </c>
      <c r="S27" s="20">
        <f t="shared" si="2"/>
        <v>1.8150718804725297</v>
      </c>
      <c r="T27" s="25">
        <f>T26+S27</f>
        <v>5.9078048402589136</v>
      </c>
      <c r="U27" s="145">
        <f t="shared" si="3"/>
        <v>6.5972222222222216E-5</v>
      </c>
      <c r="V27" s="116"/>
      <c r="W27" s="21">
        <f t="shared" si="4"/>
        <v>2.0387296875000001</v>
      </c>
      <c r="X27" s="78">
        <f t="shared" si="7"/>
        <v>20601.900000000001</v>
      </c>
      <c r="Y27" s="79"/>
      <c r="Z27" s="7"/>
      <c r="AA27" s="26"/>
      <c r="AB27" s="28"/>
      <c r="AC27" s="1"/>
    </row>
    <row r="28" spans="1:29" ht="15.75" customHeight="1" thickTop="1" thickBot="1" x14ac:dyDescent="0.35">
      <c r="A28" s="14"/>
      <c r="B28" s="127"/>
      <c r="C28" s="62" t="s">
        <v>77</v>
      </c>
      <c r="D28" s="103">
        <v>2.3E-2</v>
      </c>
      <c r="E28" s="104"/>
      <c r="F28" s="105"/>
      <c r="G28" s="39">
        <v>16148</v>
      </c>
      <c r="H28" s="43">
        <f t="shared" si="5"/>
        <v>185.702</v>
      </c>
      <c r="I28" s="114">
        <f t="shared" si="6"/>
        <v>67.283333333333331</v>
      </c>
      <c r="J28" s="112"/>
      <c r="K28" s="143">
        <f t="shared" si="0"/>
        <v>84.104166666666657</v>
      </c>
      <c r="L28" s="112"/>
      <c r="M28" s="6">
        <v>1</v>
      </c>
      <c r="N28" s="23" t="s">
        <v>72</v>
      </c>
      <c r="O28" s="24" t="s">
        <v>73</v>
      </c>
      <c r="P28" s="9">
        <v>0.85499999999999998</v>
      </c>
      <c r="Q28" s="9">
        <v>0.17499999999999999</v>
      </c>
      <c r="R28" s="19">
        <f t="shared" si="1"/>
        <v>5.8734773021664011E-5</v>
      </c>
      <c r="S28" s="20">
        <f t="shared" si="2"/>
        <v>1.0907164819669051</v>
      </c>
      <c r="T28" s="20">
        <f>T25+S28</f>
        <v>4.1626097192502574</v>
      </c>
      <c r="U28" s="145">
        <f t="shared" si="3"/>
        <v>6.5972222222222216E-5</v>
      </c>
      <c r="V28" s="116"/>
      <c r="W28" s="21">
        <f t="shared" si="4"/>
        <v>1.225117361111111</v>
      </c>
      <c r="X28" s="78">
        <f t="shared" si="7"/>
        <v>14533.2</v>
      </c>
      <c r="Y28" s="79"/>
      <c r="Z28" s="7"/>
      <c r="AA28" s="26"/>
      <c r="AB28" s="28"/>
      <c r="AC28" s="1"/>
    </row>
    <row r="29" spans="1:29" ht="15.75" customHeight="1" thickTop="1" thickBot="1" x14ac:dyDescent="0.35">
      <c r="A29" s="14"/>
      <c r="B29" s="127"/>
      <c r="C29" s="62" t="s">
        <v>78</v>
      </c>
      <c r="D29" s="103">
        <v>2.1000000000000001E-2</v>
      </c>
      <c r="E29" s="104"/>
      <c r="F29" s="105"/>
      <c r="G29" s="39">
        <v>9693</v>
      </c>
      <c r="H29" s="43">
        <f t="shared" si="5"/>
        <v>101.77650000000001</v>
      </c>
      <c r="I29" s="114">
        <f t="shared" si="6"/>
        <v>40.387500000000003</v>
      </c>
      <c r="J29" s="112"/>
      <c r="K29" s="143">
        <f t="shared" si="0"/>
        <v>50.484375</v>
      </c>
      <c r="L29" s="112"/>
      <c r="M29" s="6">
        <v>1</v>
      </c>
      <c r="N29" s="23" t="s">
        <v>72</v>
      </c>
      <c r="O29" s="24" t="s">
        <v>73</v>
      </c>
      <c r="P29" s="9">
        <v>0.85499999999999998</v>
      </c>
      <c r="Q29" s="9">
        <v>0.17499999999999999</v>
      </c>
      <c r="R29" s="19">
        <f t="shared" si="1"/>
        <v>5.8734773021664011E-5</v>
      </c>
      <c r="S29" s="20">
        <f t="shared" si="2"/>
        <v>0.59778196264393879</v>
      </c>
      <c r="T29" s="25">
        <f>T28+S29</f>
        <v>4.7603916818941965</v>
      </c>
      <c r="U29" s="145">
        <f t="shared" si="3"/>
        <v>6.5972222222222216E-5</v>
      </c>
      <c r="V29" s="116"/>
      <c r="W29" s="21">
        <f t="shared" si="4"/>
        <v>0.67144218750000007</v>
      </c>
      <c r="X29" s="78">
        <f t="shared" si="7"/>
        <v>8723.7000000000007</v>
      </c>
      <c r="Y29" s="79"/>
      <c r="Z29" s="7"/>
      <c r="AA29" s="26"/>
      <c r="AB29" s="28"/>
      <c r="AC29" s="1"/>
    </row>
    <row r="30" spans="1:29" ht="15.75" customHeight="1" thickTop="1" thickBot="1" x14ac:dyDescent="0.35">
      <c r="A30" s="14"/>
      <c r="B30" s="127"/>
      <c r="C30" s="62" t="s">
        <v>85</v>
      </c>
      <c r="D30" s="103">
        <v>2.3E-2</v>
      </c>
      <c r="E30" s="104"/>
      <c r="F30" s="105"/>
      <c r="G30" s="39">
        <v>4096</v>
      </c>
      <c r="H30" s="43">
        <f t="shared" si="5"/>
        <v>47.103999999999999</v>
      </c>
      <c r="I30" s="114">
        <f t="shared" si="6"/>
        <v>17.066666666666666</v>
      </c>
      <c r="J30" s="112"/>
      <c r="K30" s="143">
        <f t="shared" si="0"/>
        <v>21.333333333333332</v>
      </c>
      <c r="L30" s="112"/>
      <c r="M30" s="6">
        <v>1</v>
      </c>
      <c r="N30" s="23" t="s">
        <v>72</v>
      </c>
      <c r="O30" s="24" t="s">
        <v>73</v>
      </c>
      <c r="P30" s="9">
        <v>0.85499999999999998</v>
      </c>
      <c r="Q30" s="9">
        <v>0.17499999999999999</v>
      </c>
      <c r="R30" s="19">
        <f t="shared" si="1"/>
        <v>5.8734773021664011E-5</v>
      </c>
      <c r="S30" s="20">
        <f t="shared" si="2"/>
        <v>0.27666427484124617</v>
      </c>
      <c r="T30" s="25">
        <f>T29+S30</f>
        <v>5.0370559567354425</v>
      </c>
      <c r="U30" s="145">
        <f t="shared" si="3"/>
        <v>6.5972222222222216E-5</v>
      </c>
      <c r="V30" s="116"/>
      <c r="W30" s="21">
        <f t="shared" si="4"/>
        <v>0.31075555555555551</v>
      </c>
      <c r="X30" s="78">
        <f t="shared" si="7"/>
        <v>3686.4</v>
      </c>
      <c r="Y30" s="79"/>
      <c r="Z30" s="7"/>
      <c r="AA30" s="26"/>
      <c r="AB30" s="28"/>
      <c r="AC30" s="1"/>
    </row>
    <row r="31" spans="1:29" ht="15.75" customHeight="1" thickTop="1" thickBot="1" x14ac:dyDescent="0.35">
      <c r="A31" s="14"/>
      <c r="B31" s="127"/>
      <c r="C31" s="62" t="s">
        <v>96</v>
      </c>
      <c r="D31" s="103">
        <v>2.4E-2</v>
      </c>
      <c r="E31" s="104"/>
      <c r="F31" s="105"/>
      <c r="G31" s="39">
        <v>13065</v>
      </c>
      <c r="H31" s="43">
        <f t="shared" si="5"/>
        <v>156.78</v>
      </c>
      <c r="I31" s="114">
        <f t="shared" si="6"/>
        <v>54.4375</v>
      </c>
      <c r="J31" s="112"/>
      <c r="K31" s="143">
        <f t="shared" si="0"/>
        <v>68.046875</v>
      </c>
      <c r="L31" s="112"/>
      <c r="M31" s="6">
        <v>1</v>
      </c>
      <c r="N31" s="23" t="s">
        <v>72</v>
      </c>
      <c r="O31" s="24" t="s">
        <v>73</v>
      </c>
      <c r="P31" s="9">
        <v>0.85499999999999998</v>
      </c>
      <c r="Q31" s="9">
        <v>0.17499999999999999</v>
      </c>
      <c r="R31" s="19">
        <f t="shared" si="1"/>
        <v>5.8734773021664011E-5</v>
      </c>
      <c r="S31" s="20">
        <f t="shared" si="2"/>
        <v>0.92084377143364837</v>
      </c>
      <c r="T31" s="25">
        <f>S31</f>
        <v>0.92084377143364837</v>
      </c>
      <c r="U31" s="145">
        <f t="shared" si="3"/>
        <v>6.5972222222222216E-5</v>
      </c>
      <c r="V31" s="116"/>
      <c r="W31" s="21">
        <f t="shared" si="4"/>
        <v>1.0343125</v>
      </c>
      <c r="X31" s="78">
        <f t="shared" si="7"/>
        <v>11758.5</v>
      </c>
      <c r="Y31" s="79"/>
      <c r="Z31" s="7"/>
      <c r="AA31" s="26"/>
      <c r="AB31" s="28"/>
      <c r="AC31" s="1"/>
    </row>
    <row r="32" spans="1:29" ht="15.75" customHeight="1" thickTop="1" thickBot="1" x14ac:dyDescent="0.35">
      <c r="A32" s="14"/>
      <c r="B32" s="127"/>
      <c r="C32" s="62" t="s">
        <v>81</v>
      </c>
      <c r="D32" s="103">
        <v>1.4E-2</v>
      </c>
      <c r="E32" s="104"/>
      <c r="F32" s="105"/>
      <c r="G32" s="39">
        <v>9661</v>
      </c>
      <c r="H32" s="43">
        <f t="shared" si="5"/>
        <v>67.626999999999995</v>
      </c>
      <c r="I32" s="114">
        <f t="shared" si="6"/>
        <v>40.25416666666667</v>
      </c>
      <c r="J32" s="112"/>
      <c r="K32" s="143">
        <f t="shared" si="0"/>
        <v>50.317708333333336</v>
      </c>
      <c r="L32" s="112"/>
      <c r="M32" s="6">
        <v>1</v>
      </c>
      <c r="N32" s="23" t="s">
        <v>72</v>
      </c>
      <c r="O32" s="24" t="s">
        <v>73</v>
      </c>
      <c r="P32" s="9">
        <v>0.85499999999999998</v>
      </c>
      <c r="Q32" s="9">
        <v>0.17499999999999999</v>
      </c>
      <c r="R32" s="19">
        <f t="shared" si="1"/>
        <v>5.8734773021664011E-5</v>
      </c>
      <c r="S32" s="20">
        <f t="shared" si="2"/>
        <v>0.39720564951360715</v>
      </c>
      <c r="T32" s="25">
        <f>T31+S32</f>
        <v>1.3180494209472555</v>
      </c>
      <c r="U32" s="145">
        <f t="shared" si="3"/>
        <v>6.5972222222222216E-5</v>
      </c>
      <c r="V32" s="116"/>
      <c r="W32" s="21">
        <f t="shared" si="4"/>
        <v>0.44615034722222219</v>
      </c>
      <c r="X32" s="78">
        <f t="shared" si="7"/>
        <v>8694.9</v>
      </c>
      <c r="Y32" s="79"/>
      <c r="Z32" s="7"/>
      <c r="AA32" s="26"/>
      <c r="AB32" s="28"/>
      <c r="AC32" s="1"/>
    </row>
    <row r="33" spans="1:29" ht="15.75" customHeight="1" thickTop="1" thickBot="1" x14ac:dyDescent="0.35">
      <c r="A33" s="14"/>
      <c r="B33" s="127"/>
      <c r="C33" s="62" t="s">
        <v>86</v>
      </c>
      <c r="D33" s="149">
        <v>1.7000000000000001E-2</v>
      </c>
      <c r="E33" s="150"/>
      <c r="F33" s="151"/>
      <c r="G33" s="39">
        <v>5538</v>
      </c>
      <c r="H33" s="43">
        <f t="shared" si="5"/>
        <v>47.073</v>
      </c>
      <c r="I33" s="100">
        <f t="shared" si="6"/>
        <v>23.074999999999999</v>
      </c>
      <c r="J33" s="101"/>
      <c r="K33" s="82">
        <f t="shared" si="0"/>
        <v>28.84375</v>
      </c>
      <c r="L33" s="148"/>
      <c r="M33" s="6">
        <v>1</v>
      </c>
      <c r="N33" s="23" t="s">
        <v>72</v>
      </c>
      <c r="O33" s="24" t="s">
        <v>73</v>
      </c>
      <c r="P33" s="9">
        <v>0.85499999999999998</v>
      </c>
      <c r="Q33" s="9">
        <v>0.17499999999999999</v>
      </c>
      <c r="R33" s="19">
        <f t="shared" si="1"/>
        <v>5.8734773021664011E-5</v>
      </c>
      <c r="S33" s="20">
        <f t="shared" si="2"/>
        <v>0.27648219704487903</v>
      </c>
      <c r="T33" s="25">
        <f>T32+S33</f>
        <v>1.5945316179921345</v>
      </c>
      <c r="U33" s="179">
        <f t="shared" si="3"/>
        <v>6.5972222222222216E-5</v>
      </c>
      <c r="V33" s="180"/>
      <c r="W33" s="21">
        <f t="shared" si="4"/>
        <v>0.31055104166666664</v>
      </c>
      <c r="X33" s="136">
        <f t="shared" si="7"/>
        <v>4984.2</v>
      </c>
      <c r="Y33" s="137"/>
      <c r="Z33" s="7"/>
      <c r="AA33" s="26"/>
      <c r="AB33" s="28"/>
      <c r="AC33" s="1"/>
    </row>
    <row r="34" spans="1:29" ht="15.75" customHeight="1" thickTop="1" thickBot="1" x14ac:dyDescent="0.35">
      <c r="A34" s="14"/>
      <c r="B34" s="133" t="s">
        <v>88</v>
      </c>
      <c r="C34" s="37" t="s">
        <v>71</v>
      </c>
      <c r="D34" s="92">
        <v>5.0000000000000001E-3</v>
      </c>
      <c r="E34" s="93"/>
      <c r="F34" s="94"/>
      <c r="G34" s="68">
        <v>6481</v>
      </c>
      <c r="H34" s="38">
        <f t="shared" si="5"/>
        <v>16.202500000000001</v>
      </c>
      <c r="I34" s="111">
        <f t="shared" si="6"/>
        <v>27.004166666666666</v>
      </c>
      <c r="J34" s="112"/>
      <c r="K34" s="143">
        <f t="shared" si="0"/>
        <v>33.755208333333336</v>
      </c>
      <c r="L34" s="142"/>
      <c r="M34" s="52">
        <v>1</v>
      </c>
      <c r="N34" s="53" t="s">
        <v>72</v>
      </c>
      <c r="O34" s="54" t="s">
        <v>73</v>
      </c>
      <c r="P34" s="36">
        <v>0.85499999999999998</v>
      </c>
      <c r="Q34" s="35">
        <v>0.17499999999999999</v>
      </c>
      <c r="R34" s="44">
        <f t="shared" si="1"/>
        <v>5.8734773021664011E-5</v>
      </c>
      <c r="S34" s="45">
        <f t="shared" si="2"/>
        <v>9.5165015988351129E-2</v>
      </c>
      <c r="T34" s="46">
        <f>S34</f>
        <v>9.5165015988351129E-2</v>
      </c>
      <c r="U34" s="144">
        <f t="shared" si="3"/>
        <v>6.5972222222222216E-5</v>
      </c>
      <c r="V34" s="116"/>
      <c r="W34" s="21">
        <f t="shared" si="4"/>
        <v>0.10689149305555556</v>
      </c>
      <c r="X34" s="78">
        <f t="shared" si="7"/>
        <v>5832.9000000000005</v>
      </c>
      <c r="Y34" s="79"/>
      <c r="Z34" s="7"/>
      <c r="AA34" s="1"/>
      <c r="AB34" s="1"/>
      <c r="AC34" s="1"/>
    </row>
    <row r="35" spans="1:29" ht="15.75" customHeight="1" thickTop="1" thickBot="1" x14ac:dyDescent="0.35">
      <c r="A35" s="14"/>
      <c r="B35" s="124"/>
      <c r="C35" s="37" t="s">
        <v>74</v>
      </c>
      <c r="D35" s="95">
        <v>1.7000000000000001E-2</v>
      </c>
      <c r="E35" s="96"/>
      <c r="F35" s="97"/>
      <c r="G35" s="39">
        <v>4090</v>
      </c>
      <c r="H35" s="38">
        <f t="shared" si="5"/>
        <v>34.765000000000001</v>
      </c>
      <c r="I35" s="111">
        <f t="shared" si="6"/>
        <v>17.041666666666668</v>
      </c>
      <c r="J35" s="112"/>
      <c r="K35" s="143">
        <f t="shared" si="0"/>
        <v>21.302083333333336</v>
      </c>
      <c r="L35" s="142"/>
      <c r="M35" s="55">
        <v>1</v>
      </c>
      <c r="N35" s="37" t="s">
        <v>72</v>
      </c>
      <c r="O35" s="56" t="s">
        <v>73</v>
      </c>
      <c r="P35" s="36">
        <v>0.85499999999999998</v>
      </c>
      <c r="Q35" s="35">
        <v>0.17499999999999999</v>
      </c>
      <c r="R35" s="47">
        <f t="shared" si="1"/>
        <v>5.8734773021664011E-5</v>
      </c>
      <c r="S35" s="48">
        <f t="shared" si="2"/>
        <v>0.20419143840981493</v>
      </c>
      <c r="T35" s="49">
        <f>T34+S35</f>
        <v>0.29935645439816605</v>
      </c>
      <c r="U35" s="144">
        <f t="shared" si="3"/>
        <v>6.5972222222222216E-5</v>
      </c>
      <c r="V35" s="116"/>
      <c r="W35" s="21">
        <f t="shared" si="4"/>
        <v>0.22935243055555557</v>
      </c>
      <c r="X35" s="78">
        <f t="shared" si="7"/>
        <v>3681</v>
      </c>
      <c r="Y35" s="79"/>
      <c r="Z35" s="7"/>
      <c r="AA35" s="1"/>
      <c r="AB35" s="1"/>
      <c r="AC35" s="1"/>
    </row>
    <row r="36" spans="1:29" ht="15.75" customHeight="1" thickTop="1" thickBot="1" x14ac:dyDescent="0.35">
      <c r="A36" s="14"/>
      <c r="B36" s="124"/>
      <c r="C36" s="37" t="s">
        <v>101</v>
      </c>
      <c r="D36" s="95">
        <v>1.7999999999999999E-2</v>
      </c>
      <c r="E36" s="96"/>
      <c r="F36" s="97"/>
      <c r="G36" s="39">
        <v>2834</v>
      </c>
      <c r="H36" s="38">
        <f t="shared" si="5"/>
        <v>25.505999999999997</v>
      </c>
      <c r="I36" s="111">
        <f t="shared" si="6"/>
        <v>11.808333333333334</v>
      </c>
      <c r="J36" s="112"/>
      <c r="K36" s="143">
        <f t="shared" si="0"/>
        <v>14.760416666666668</v>
      </c>
      <c r="L36" s="142"/>
      <c r="M36" s="55">
        <v>1</v>
      </c>
      <c r="N36" s="37" t="s">
        <v>72</v>
      </c>
      <c r="O36" s="56" t="s">
        <v>73</v>
      </c>
      <c r="P36" s="36">
        <v>0.85499999999999998</v>
      </c>
      <c r="Q36" s="35">
        <v>0.17499999999999999</v>
      </c>
      <c r="R36" s="47">
        <f t="shared" si="1"/>
        <v>5.8734773021664011E-5</v>
      </c>
      <c r="S36" s="48">
        <f t="shared" si="2"/>
        <v>0.14980891206905622</v>
      </c>
      <c r="T36" s="49">
        <f t="shared" ref="T36:T39" si="8">T35+S36</f>
        <v>0.44916536646722227</v>
      </c>
      <c r="U36" s="144">
        <f t="shared" si="3"/>
        <v>6.5972222222222216E-5</v>
      </c>
      <c r="V36" s="116"/>
      <c r="W36" s="21">
        <f t="shared" si="4"/>
        <v>0.16826874999999997</v>
      </c>
      <c r="X36" s="78">
        <f t="shared" si="7"/>
        <v>2550.6</v>
      </c>
      <c r="Y36" s="79"/>
      <c r="Z36" s="7"/>
      <c r="AA36" s="26"/>
      <c r="AB36" s="28"/>
      <c r="AC36" s="1"/>
    </row>
    <row r="37" spans="1:29" ht="15.75" customHeight="1" thickTop="1" thickBot="1" x14ac:dyDescent="0.35">
      <c r="A37" s="14"/>
      <c r="B37" s="124"/>
      <c r="C37" s="37" t="s">
        <v>94</v>
      </c>
      <c r="D37" s="95">
        <v>0.01</v>
      </c>
      <c r="E37" s="96"/>
      <c r="F37" s="97"/>
      <c r="G37" s="39">
        <v>4085</v>
      </c>
      <c r="H37" s="38">
        <f t="shared" si="5"/>
        <v>20.425000000000001</v>
      </c>
      <c r="I37" s="111">
        <f t="shared" si="6"/>
        <v>17.020833333333332</v>
      </c>
      <c r="J37" s="112"/>
      <c r="K37" s="143">
        <f t="shared" si="0"/>
        <v>21.276041666666664</v>
      </c>
      <c r="L37" s="142"/>
      <c r="M37" s="55">
        <v>1</v>
      </c>
      <c r="N37" s="37" t="s">
        <v>72</v>
      </c>
      <c r="O37" s="56" t="s">
        <v>73</v>
      </c>
      <c r="P37" s="36">
        <v>0.85499999999999998</v>
      </c>
      <c r="Q37" s="35">
        <v>0.17499999999999999</v>
      </c>
      <c r="R37" s="47">
        <f t="shared" si="1"/>
        <v>5.8734773021664011E-5</v>
      </c>
      <c r="S37" s="48">
        <f t="shared" si="2"/>
        <v>0.11996577389674874</v>
      </c>
      <c r="T37" s="49">
        <f>T36+S37</f>
        <v>0.56913114036397106</v>
      </c>
      <c r="U37" s="144">
        <f t="shared" si="3"/>
        <v>6.5972222222222216E-5</v>
      </c>
      <c r="V37" s="116"/>
      <c r="W37" s="21">
        <f t="shared" si="4"/>
        <v>0.13474826388888889</v>
      </c>
      <c r="X37" s="78">
        <f t="shared" si="7"/>
        <v>3676.5</v>
      </c>
      <c r="Y37" s="79"/>
      <c r="Z37" s="7"/>
      <c r="AA37" s="26"/>
      <c r="AB37" s="28"/>
      <c r="AC37" s="1"/>
    </row>
    <row r="38" spans="1:29" ht="15.75" customHeight="1" thickTop="1" thickBot="1" x14ac:dyDescent="0.35">
      <c r="A38" s="2"/>
      <c r="B38" s="124"/>
      <c r="C38" s="37" t="s">
        <v>84</v>
      </c>
      <c r="D38" s="95">
        <v>1.6E-2</v>
      </c>
      <c r="E38" s="96"/>
      <c r="F38" s="113"/>
      <c r="G38" s="39">
        <v>16478</v>
      </c>
      <c r="H38" s="38">
        <f t="shared" si="5"/>
        <v>131.82400000000001</v>
      </c>
      <c r="I38" s="111">
        <f t="shared" si="6"/>
        <v>68.658333333333331</v>
      </c>
      <c r="J38" s="112"/>
      <c r="K38" s="143">
        <f t="shared" si="0"/>
        <v>85.822916666666657</v>
      </c>
      <c r="L38" s="142"/>
      <c r="M38" s="55">
        <v>1</v>
      </c>
      <c r="N38" s="37" t="s">
        <v>72</v>
      </c>
      <c r="O38" s="56" t="s">
        <v>73</v>
      </c>
      <c r="P38" s="36">
        <v>0.85499999999999998</v>
      </c>
      <c r="Q38" s="35">
        <v>0.17499999999999999</v>
      </c>
      <c r="R38" s="47">
        <f t="shared" si="1"/>
        <v>5.8734773021664011E-5</v>
      </c>
      <c r="S38" s="48">
        <f t="shared" si="2"/>
        <v>0.77426527188078376</v>
      </c>
      <c r="T38" s="49">
        <f t="shared" si="8"/>
        <v>1.3433964122447548</v>
      </c>
      <c r="U38" s="144">
        <f t="shared" si="3"/>
        <v>6.5972222222222216E-5</v>
      </c>
      <c r="V38" s="116"/>
      <c r="W38" s="21">
        <f t="shared" si="4"/>
        <v>0.86967222222222218</v>
      </c>
      <c r="X38" s="78">
        <f t="shared" si="7"/>
        <v>14830.2</v>
      </c>
      <c r="Y38" s="79"/>
      <c r="Z38" s="7"/>
      <c r="AA38" s="26"/>
      <c r="AB38" s="28"/>
      <c r="AC38" s="1"/>
    </row>
    <row r="39" spans="1:29" ht="15.75" customHeight="1" thickTop="1" thickBot="1" x14ac:dyDescent="0.35">
      <c r="A39" s="2"/>
      <c r="B39" s="124"/>
      <c r="C39" s="37" t="s">
        <v>78</v>
      </c>
      <c r="D39" s="95">
        <v>2.5000000000000001E-2</v>
      </c>
      <c r="E39" s="96"/>
      <c r="F39" s="113"/>
      <c r="G39" s="39">
        <v>12255</v>
      </c>
      <c r="H39" s="38">
        <f t="shared" si="5"/>
        <v>153.1875</v>
      </c>
      <c r="I39" s="111">
        <f t="shared" si="6"/>
        <v>51.0625</v>
      </c>
      <c r="J39" s="112"/>
      <c r="K39" s="143">
        <f t="shared" si="0"/>
        <v>63.828125</v>
      </c>
      <c r="L39" s="142"/>
      <c r="M39" s="55">
        <v>1</v>
      </c>
      <c r="N39" s="37" t="s">
        <v>72</v>
      </c>
      <c r="O39" s="56" t="s">
        <v>73</v>
      </c>
      <c r="P39" s="36">
        <v>0.85499999999999998</v>
      </c>
      <c r="Q39" s="35">
        <v>0.17499999999999999</v>
      </c>
      <c r="R39" s="47">
        <f t="shared" si="1"/>
        <v>5.8734773021664011E-5</v>
      </c>
      <c r="S39" s="48">
        <f t="shared" si="2"/>
        <v>0.89974330422561555</v>
      </c>
      <c r="T39" s="49">
        <f t="shared" si="8"/>
        <v>2.2431397164703704</v>
      </c>
      <c r="U39" s="144">
        <f t="shared" si="3"/>
        <v>6.5972222222222216E-5</v>
      </c>
      <c r="V39" s="116"/>
      <c r="W39" s="21">
        <f t="shared" si="4"/>
        <v>1.0106119791666666</v>
      </c>
      <c r="X39" s="78">
        <f t="shared" si="7"/>
        <v>11029.5</v>
      </c>
      <c r="Y39" s="79"/>
      <c r="Z39" s="7"/>
      <c r="AA39" s="26"/>
      <c r="AB39" s="28"/>
      <c r="AC39" s="1"/>
    </row>
    <row r="40" spans="1:29" ht="15.75" customHeight="1" thickTop="1" thickBot="1" x14ac:dyDescent="0.35">
      <c r="A40" s="2"/>
      <c r="B40" s="124"/>
      <c r="C40" s="37" t="s">
        <v>85</v>
      </c>
      <c r="D40" s="95">
        <v>2.1999999999999999E-2</v>
      </c>
      <c r="E40" s="96"/>
      <c r="F40" s="113"/>
      <c r="G40" s="39">
        <v>7281</v>
      </c>
      <c r="H40" s="38">
        <f t="shared" si="5"/>
        <v>80.090999999999994</v>
      </c>
      <c r="I40" s="111">
        <f t="shared" si="6"/>
        <v>30.337499999999999</v>
      </c>
      <c r="J40" s="112"/>
      <c r="K40" s="143">
        <f t="shared" si="0"/>
        <v>37.921875</v>
      </c>
      <c r="L40" s="142"/>
      <c r="M40" s="55">
        <v>1</v>
      </c>
      <c r="N40" s="37" t="s">
        <v>72</v>
      </c>
      <c r="O40" s="56" t="s">
        <v>73</v>
      </c>
      <c r="P40" s="36">
        <v>0.85499999999999998</v>
      </c>
      <c r="Q40" s="35">
        <v>0.17499999999999999</v>
      </c>
      <c r="R40" s="47">
        <f t="shared" si="1"/>
        <v>5.8734773021664011E-5</v>
      </c>
      <c r="S40" s="48">
        <f t="shared" si="2"/>
        <v>0.47041267060780922</v>
      </c>
      <c r="T40" s="49">
        <f>T39+S40</f>
        <v>2.7135523870781797</v>
      </c>
      <c r="U40" s="144">
        <f t="shared" si="3"/>
        <v>6.5972222222222216E-5</v>
      </c>
      <c r="V40" s="116"/>
      <c r="W40" s="21">
        <f t="shared" si="4"/>
        <v>0.52837812499999992</v>
      </c>
      <c r="X40" s="78">
        <f t="shared" si="7"/>
        <v>6552.9000000000005</v>
      </c>
      <c r="Y40" s="79"/>
      <c r="Z40" s="7"/>
      <c r="AA40" s="26"/>
      <c r="AB40" s="28"/>
      <c r="AC40" s="1"/>
    </row>
    <row r="41" spans="1:29" ht="15.6" customHeight="1" thickTop="1" thickBot="1" x14ac:dyDescent="0.35">
      <c r="A41" s="2"/>
      <c r="B41" s="124"/>
      <c r="C41" s="37" t="s">
        <v>80</v>
      </c>
      <c r="D41" s="95">
        <v>1.2E-2</v>
      </c>
      <c r="E41" s="96"/>
      <c r="F41" s="113"/>
      <c r="G41" s="39">
        <v>4861</v>
      </c>
      <c r="H41" s="38">
        <f t="shared" si="5"/>
        <v>29.166</v>
      </c>
      <c r="I41" s="111">
        <f t="shared" si="6"/>
        <v>20.254166666666666</v>
      </c>
      <c r="J41" s="112"/>
      <c r="K41" s="143">
        <f t="shared" si="0"/>
        <v>25.317708333333332</v>
      </c>
      <c r="L41" s="142"/>
      <c r="M41" s="55">
        <v>1</v>
      </c>
      <c r="N41" s="37" t="s">
        <v>72</v>
      </c>
      <c r="O41" s="56" t="s">
        <v>73</v>
      </c>
      <c r="P41" s="36">
        <v>0.85499999999999998</v>
      </c>
      <c r="Q41" s="35">
        <v>0.17499999999999999</v>
      </c>
      <c r="R41" s="47">
        <f t="shared" si="1"/>
        <v>5.8734773021664011E-5</v>
      </c>
      <c r="S41" s="48">
        <f t="shared" si="2"/>
        <v>0.17130583899498525</v>
      </c>
      <c r="T41" s="49">
        <f>T37+S41</f>
        <v>0.74043697935895625</v>
      </c>
      <c r="U41" s="144">
        <f t="shared" si="3"/>
        <v>6.5972222222222216E-5</v>
      </c>
      <c r="V41" s="116"/>
      <c r="W41" s="21">
        <f t="shared" si="4"/>
        <v>0.19241458333333333</v>
      </c>
      <c r="X41" s="78">
        <f t="shared" si="7"/>
        <v>4374.9000000000005</v>
      </c>
      <c r="Y41" s="79"/>
      <c r="Z41" s="7"/>
      <c r="AA41" s="26"/>
      <c r="AB41" s="28"/>
      <c r="AC41" s="1"/>
    </row>
    <row r="42" spans="1:29" ht="15.75" customHeight="1" thickTop="1" thickBot="1" x14ac:dyDescent="0.35">
      <c r="A42" s="2"/>
      <c r="B42" s="133" t="s">
        <v>90</v>
      </c>
      <c r="C42" s="17" t="s">
        <v>71</v>
      </c>
      <c r="D42" s="84">
        <v>2.1999999999999999E-2</v>
      </c>
      <c r="E42" s="85"/>
      <c r="F42" s="86"/>
      <c r="G42" s="68">
        <v>4090</v>
      </c>
      <c r="H42" s="42">
        <f t="shared" si="5"/>
        <v>44.989999999999995</v>
      </c>
      <c r="I42" s="87">
        <f t="shared" si="6"/>
        <v>17.041666666666668</v>
      </c>
      <c r="J42" s="76"/>
      <c r="K42" s="82">
        <f t="shared" ref="K42:K75" si="9">(I42*1.25)</f>
        <v>21.302083333333336</v>
      </c>
      <c r="L42" s="88"/>
      <c r="M42" s="52">
        <v>1</v>
      </c>
      <c r="N42" s="53" t="s">
        <v>72</v>
      </c>
      <c r="O42" s="54" t="s">
        <v>73</v>
      </c>
      <c r="P42" s="36">
        <v>0.85499999999999998</v>
      </c>
      <c r="Q42" s="35">
        <v>0.17499999999999999</v>
      </c>
      <c r="R42" s="44">
        <f t="shared" si="1"/>
        <v>5.8734773021664011E-5</v>
      </c>
      <c r="S42" s="45">
        <f t="shared" si="2"/>
        <v>0.26424774382446636</v>
      </c>
      <c r="T42" s="59">
        <f>S42</f>
        <v>0.26424774382446636</v>
      </c>
      <c r="U42" s="89">
        <f t="shared" si="3"/>
        <v>6.5972222222222216E-5</v>
      </c>
      <c r="V42" s="76"/>
      <c r="W42" s="29">
        <f t="shared" si="4"/>
        <v>0.29680902777777768</v>
      </c>
      <c r="X42" s="78">
        <f t="shared" si="7"/>
        <v>3681</v>
      </c>
      <c r="Y42" s="79"/>
      <c r="Z42" s="7"/>
      <c r="AA42" s="26"/>
      <c r="AB42" s="66"/>
      <c r="AC42" s="1"/>
    </row>
    <row r="43" spans="1:29" ht="15.75" customHeight="1" thickTop="1" thickBot="1" x14ac:dyDescent="0.35">
      <c r="A43" s="2"/>
      <c r="B43" s="124"/>
      <c r="C43" s="22" t="s">
        <v>104</v>
      </c>
      <c r="D43" s="84">
        <v>0.01</v>
      </c>
      <c r="E43" s="85"/>
      <c r="F43" s="86"/>
      <c r="G43" s="39">
        <v>4084</v>
      </c>
      <c r="H43" s="43">
        <f t="shared" si="5"/>
        <v>20.420000000000002</v>
      </c>
      <c r="I43" s="87">
        <f t="shared" si="6"/>
        <v>17.016666666666666</v>
      </c>
      <c r="J43" s="76"/>
      <c r="K43" s="82">
        <f t="shared" si="9"/>
        <v>21.270833333333332</v>
      </c>
      <c r="L43" s="88"/>
      <c r="M43" s="55">
        <v>1</v>
      </c>
      <c r="N43" s="37" t="s">
        <v>72</v>
      </c>
      <c r="O43" s="56" t="s">
        <v>73</v>
      </c>
      <c r="P43" s="36">
        <v>0.85499999999999998</v>
      </c>
      <c r="Q43" s="35">
        <v>0.17499999999999999</v>
      </c>
      <c r="R43" s="47">
        <f t="shared" ref="R43:R46" si="10">(P43*0.9 + Q15*SIN(ACOS(0.9))) / (120^2)</f>
        <v>5.8734773021664011E-5</v>
      </c>
      <c r="S43" s="48">
        <f t="shared" si="2"/>
        <v>0.11993640651023793</v>
      </c>
      <c r="T43" s="49">
        <f>T42+S43</f>
        <v>0.38418415033470432</v>
      </c>
      <c r="U43" s="89">
        <f t="shared" si="3"/>
        <v>6.5972222222222216E-5</v>
      </c>
      <c r="V43" s="76"/>
      <c r="W43" s="29">
        <f t="shared" si="4"/>
        <v>0.13471527777777778</v>
      </c>
      <c r="X43" s="78">
        <f t="shared" si="7"/>
        <v>3675.6</v>
      </c>
      <c r="Y43" s="79"/>
      <c r="Z43" s="7"/>
      <c r="AA43" s="26"/>
      <c r="AB43" s="1"/>
    </row>
    <row r="44" spans="1:29" ht="15.75" customHeight="1" thickTop="1" thickBot="1" x14ac:dyDescent="0.35">
      <c r="A44" s="2"/>
      <c r="B44" s="124"/>
      <c r="C44" s="22" t="s">
        <v>105</v>
      </c>
      <c r="D44" s="84">
        <v>1.9E-2</v>
      </c>
      <c r="E44" s="85"/>
      <c r="F44" s="86"/>
      <c r="G44" s="39">
        <v>18958</v>
      </c>
      <c r="H44" s="43">
        <f t="shared" si="5"/>
        <v>180.101</v>
      </c>
      <c r="I44" s="87">
        <f t="shared" si="6"/>
        <v>78.99166666666666</v>
      </c>
      <c r="J44" s="76"/>
      <c r="K44" s="82">
        <f t="shared" si="9"/>
        <v>98.739583333333329</v>
      </c>
      <c r="L44" s="88"/>
      <c r="M44" s="55">
        <v>1</v>
      </c>
      <c r="N44" s="37" t="s">
        <v>72</v>
      </c>
      <c r="O44" s="56" t="s">
        <v>73</v>
      </c>
      <c r="P44" s="36">
        <v>0.85499999999999998</v>
      </c>
      <c r="Q44" s="35">
        <v>0.17499999999999999</v>
      </c>
      <c r="R44" s="47">
        <f t="shared" si="10"/>
        <v>5.8734773021664011E-5</v>
      </c>
      <c r="S44" s="48">
        <f t="shared" si="2"/>
        <v>1.0578191355974711</v>
      </c>
      <c r="T44" s="49">
        <f>T43+S44</f>
        <v>1.4420032859321754</v>
      </c>
      <c r="U44" s="89">
        <f t="shared" si="3"/>
        <v>6.5972222222222216E-5</v>
      </c>
      <c r="V44" s="76"/>
      <c r="W44" s="29">
        <f t="shared" si="4"/>
        <v>1.1881663194444443</v>
      </c>
      <c r="X44" s="78">
        <f t="shared" si="7"/>
        <v>17062.2</v>
      </c>
      <c r="Y44" s="79"/>
      <c r="Z44" s="7"/>
      <c r="AA44" s="26"/>
      <c r="AB44" s="1"/>
    </row>
    <row r="45" spans="1:29" ht="15.75" customHeight="1" thickTop="1" thickBot="1" x14ac:dyDescent="0.35">
      <c r="A45" s="2"/>
      <c r="B45" s="124"/>
      <c r="C45" s="22" t="s">
        <v>76</v>
      </c>
      <c r="D45" s="84">
        <v>1.4999999999999999E-2</v>
      </c>
      <c r="E45" s="85"/>
      <c r="F45" s="86"/>
      <c r="G45" s="39">
        <v>13878</v>
      </c>
      <c r="H45" s="43">
        <f t="shared" si="5"/>
        <v>104.08499999999999</v>
      </c>
      <c r="I45" s="87">
        <f t="shared" si="6"/>
        <v>57.825000000000003</v>
      </c>
      <c r="J45" s="76"/>
      <c r="K45" s="82">
        <f t="shared" si="9"/>
        <v>72.28125</v>
      </c>
      <c r="L45" s="88"/>
      <c r="M45" s="55">
        <v>1</v>
      </c>
      <c r="N45" s="37" t="s">
        <v>72</v>
      </c>
      <c r="O45" s="56" t="s">
        <v>73</v>
      </c>
      <c r="P45" s="36">
        <v>0.85499999999999998</v>
      </c>
      <c r="Q45" s="35">
        <v>0.17499999999999999</v>
      </c>
      <c r="R45" s="47">
        <f t="shared" si="10"/>
        <v>5.8734773021664011E-5</v>
      </c>
      <c r="S45" s="48">
        <f t="shared" si="2"/>
        <v>0.61134088499598982</v>
      </c>
      <c r="T45" s="49">
        <f>S45</f>
        <v>0.61134088499598982</v>
      </c>
      <c r="U45" s="89">
        <f t="shared" si="3"/>
        <v>6.5972222222222216E-5</v>
      </c>
      <c r="V45" s="76"/>
      <c r="W45" s="29">
        <f t="shared" si="4"/>
        <v>0.68667187499999982</v>
      </c>
      <c r="X45" s="78">
        <f t="shared" si="7"/>
        <v>12490.2</v>
      </c>
      <c r="Y45" s="79"/>
      <c r="Z45" s="7"/>
      <c r="AA45" s="26"/>
      <c r="AB45" s="1"/>
    </row>
    <row r="46" spans="1:29" ht="15.75" customHeight="1" thickTop="1" thickBot="1" x14ac:dyDescent="0.35">
      <c r="A46" s="2"/>
      <c r="B46" s="124"/>
      <c r="C46" s="22" t="s">
        <v>89</v>
      </c>
      <c r="D46" s="84">
        <v>1.4E-2</v>
      </c>
      <c r="E46" s="85"/>
      <c r="F46" s="86"/>
      <c r="G46" s="39">
        <v>6901</v>
      </c>
      <c r="H46" s="43">
        <f t="shared" si="5"/>
        <v>48.307000000000002</v>
      </c>
      <c r="I46" s="87">
        <f t="shared" si="6"/>
        <v>28.754166666666666</v>
      </c>
      <c r="J46" s="76"/>
      <c r="K46" s="82">
        <f t="shared" si="9"/>
        <v>35.942708333333336</v>
      </c>
      <c r="L46" s="88"/>
      <c r="M46" s="55">
        <v>1</v>
      </c>
      <c r="N46" s="37" t="s">
        <v>72</v>
      </c>
      <c r="O46" s="56" t="s">
        <v>73</v>
      </c>
      <c r="P46" s="36">
        <v>0.85499999999999998</v>
      </c>
      <c r="Q46" s="35">
        <v>0.17499999999999999</v>
      </c>
      <c r="R46" s="47">
        <f t="shared" si="10"/>
        <v>5.8734773021664011E-5</v>
      </c>
      <c r="S46" s="48">
        <f t="shared" si="2"/>
        <v>0.28373006803575235</v>
      </c>
      <c r="T46" s="49">
        <f>T45+S46</f>
        <v>0.89507095303174222</v>
      </c>
      <c r="U46" s="89">
        <f t="shared" si="3"/>
        <v>6.5972222222222216E-5</v>
      </c>
      <c r="V46" s="76"/>
      <c r="W46" s="29">
        <f t="shared" si="4"/>
        <v>0.3186920138888889</v>
      </c>
      <c r="X46" s="78">
        <f t="shared" si="7"/>
        <v>6210.9000000000005</v>
      </c>
      <c r="Y46" s="79"/>
      <c r="Z46" s="7"/>
      <c r="AA46" s="26"/>
      <c r="AB46" s="1"/>
    </row>
    <row r="47" spans="1:29" ht="15.75" customHeight="1" thickTop="1" thickBot="1" x14ac:dyDescent="0.35">
      <c r="A47" s="2"/>
      <c r="B47" s="133" t="s">
        <v>91</v>
      </c>
      <c r="C47" s="17" t="s">
        <v>71</v>
      </c>
      <c r="D47" s="115">
        <v>0.01</v>
      </c>
      <c r="E47" s="116"/>
      <c r="F47" s="116"/>
      <c r="G47" s="68">
        <v>17646</v>
      </c>
      <c r="H47" s="38">
        <f t="shared" si="5"/>
        <v>88.23</v>
      </c>
      <c r="I47" s="83">
        <f t="shared" si="6"/>
        <v>73.525000000000006</v>
      </c>
      <c r="J47" s="76"/>
      <c r="K47" s="82">
        <f t="shared" si="9"/>
        <v>91.90625</v>
      </c>
      <c r="L47" s="76"/>
      <c r="M47" s="6">
        <v>1</v>
      </c>
      <c r="N47" s="23" t="s">
        <v>72</v>
      </c>
      <c r="O47" s="24" t="s">
        <v>73</v>
      </c>
      <c r="P47" s="9">
        <v>0.85499999999999998</v>
      </c>
      <c r="Q47" s="9">
        <v>0.17499999999999999</v>
      </c>
      <c r="R47" s="57">
        <f t="shared" ref="R47:R56" si="11">(P47*0.9 + Q28*SIN(ACOS(0.9))) / (120^2)</f>
        <v>5.8734773021664011E-5</v>
      </c>
      <c r="S47" s="48">
        <f t="shared" si="2"/>
        <v>0.51821690237014162</v>
      </c>
      <c r="T47" s="58">
        <f>S47</f>
        <v>0.51821690237014162</v>
      </c>
      <c r="U47" s="77">
        <f t="shared" si="3"/>
        <v>6.5972222222222216E-5</v>
      </c>
      <c r="V47" s="76"/>
      <c r="W47" s="29">
        <f t="shared" si="4"/>
        <v>0.58207291666666672</v>
      </c>
      <c r="X47" s="78">
        <f t="shared" si="7"/>
        <v>15881.4</v>
      </c>
      <c r="Y47" s="79"/>
      <c r="Z47" s="7"/>
      <c r="AA47" s="26"/>
      <c r="AB47" s="64"/>
      <c r="AC47" s="1"/>
    </row>
    <row r="48" spans="1:29" ht="15.75" customHeight="1" thickTop="1" thickBot="1" x14ac:dyDescent="0.35">
      <c r="A48" s="2"/>
      <c r="B48" s="124"/>
      <c r="C48" s="22" t="s">
        <v>74</v>
      </c>
      <c r="D48" s="84">
        <v>2.5000000000000001E-2</v>
      </c>
      <c r="E48" s="85"/>
      <c r="F48" s="86"/>
      <c r="G48" s="39">
        <v>12024</v>
      </c>
      <c r="H48" s="38">
        <f t="shared" si="5"/>
        <v>150.30000000000001</v>
      </c>
      <c r="I48" s="83">
        <f t="shared" si="6"/>
        <v>50.1</v>
      </c>
      <c r="J48" s="76"/>
      <c r="K48" s="82">
        <f t="shared" si="9"/>
        <v>62.625</v>
      </c>
      <c r="L48" s="76"/>
      <c r="M48" s="6">
        <v>1</v>
      </c>
      <c r="N48" s="23" t="s">
        <v>72</v>
      </c>
      <c r="O48" s="24" t="s">
        <v>73</v>
      </c>
      <c r="P48" s="9">
        <v>0.85499999999999998</v>
      </c>
      <c r="Q48" s="9">
        <v>0.17499999999999999</v>
      </c>
      <c r="R48" s="19">
        <f t="shared" si="11"/>
        <v>5.8734773021664011E-5</v>
      </c>
      <c r="S48" s="20">
        <f t="shared" si="2"/>
        <v>0.88278363851561015</v>
      </c>
      <c r="T48" s="20">
        <f>T47+S48</f>
        <v>1.4010005408857518</v>
      </c>
      <c r="U48" s="77">
        <f t="shared" si="3"/>
        <v>6.5972222222222216E-5</v>
      </c>
      <c r="V48" s="76"/>
      <c r="W48" s="29">
        <f t="shared" si="4"/>
        <v>0.9915624999999999</v>
      </c>
      <c r="X48" s="78">
        <f t="shared" si="7"/>
        <v>10821.6</v>
      </c>
      <c r="Y48" s="79"/>
      <c r="Z48" s="7"/>
      <c r="AA48" s="26"/>
      <c r="AB48" s="28"/>
      <c r="AC48" s="1"/>
    </row>
    <row r="49" spans="1:29" ht="15.75" customHeight="1" thickTop="1" thickBot="1" x14ac:dyDescent="0.35">
      <c r="A49" s="2"/>
      <c r="B49" s="124"/>
      <c r="C49" s="22" t="s">
        <v>75</v>
      </c>
      <c r="D49" s="84">
        <v>1.7999999999999999E-2</v>
      </c>
      <c r="E49" s="85"/>
      <c r="F49" s="86"/>
      <c r="G49" s="39">
        <v>5673</v>
      </c>
      <c r="H49" s="38">
        <f t="shared" si="5"/>
        <v>51.056999999999995</v>
      </c>
      <c r="I49" s="83">
        <f t="shared" si="6"/>
        <v>23.637499999999999</v>
      </c>
      <c r="J49" s="76"/>
      <c r="K49" s="82">
        <f t="shared" si="9"/>
        <v>29.546875</v>
      </c>
      <c r="L49" s="76"/>
      <c r="M49" s="6">
        <v>1</v>
      </c>
      <c r="N49" s="23" t="s">
        <v>72</v>
      </c>
      <c r="O49" s="24" t="s">
        <v>73</v>
      </c>
      <c r="P49" s="9">
        <v>0.85499999999999998</v>
      </c>
      <c r="Q49" s="9">
        <v>0.17499999999999999</v>
      </c>
      <c r="R49" s="19">
        <f t="shared" si="11"/>
        <v>5.8734773021664011E-5</v>
      </c>
      <c r="S49" s="20">
        <f t="shared" si="2"/>
        <v>0.29988213061670993</v>
      </c>
      <c r="T49" s="20">
        <f>T48+S49</f>
        <v>1.7008826715024616</v>
      </c>
      <c r="U49" s="77">
        <f t="shared" si="3"/>
        <v>6.5972222222222216E-5</v>
      </c>
      <c r="V49" s="76"/>
      <c r="W49" s="29">
        <f t="shared" si="4"/>
        <v>0.33683437499999996</v>
      </c>
      <c r="X49" s="78">
        <f t="shared" si="7"/>
        <v>5105.7</v>
      </c>
      <c r="Y49" s="79"/>
      <c r="Z49" s="7"/>
      <c r="AA49" s="26"/>
      <c r="AB49" s="28"/>
      <c r="AC49" s="1"/>
    </row>
    <row r="50" spans="1:29" ht="15.75" customHeight="1" thickTop="1" thickBot="1" x14ac:dyDescent="0.35">
      <c r="A50" s="2"/>
      <c r="B50" s="124"/>
      <c r="C50" s="22" t="s">
        <v>76</v>
      </c>
      <c r="D50" s="84">
        <v>1.2E-2</v>
      </c>
      <c r="E50" s="85"/>
      <c r="F50" s="86"/>
      <c r="G50" s="39">
        <v>2381</v>
      </c>
      <c r="H50" s="38">
        <f t="shared" si="5"/>
        <v>14.286</v>
      </c>
      <c r="I50" s="83">
        <f t="shared" si="6"/>
        <v>9.9208333333333325</v>
      </c>
      <c r="J50" s="76"/>
      <c r="K50" s="82">
        <f t="shared" si="9"/>
        <v>12.401041666666666</v>
      </c>
      <c r="L50" s="76"/>
      <c r="M50" s="6">
        <v>1</v>
      </c>
      <c r="N50" s="23" t="s">
        <v>72</v>
      </c>
      <c r="O50" s="24" t="s">
        <v>73</v>
      </c>
      <c r="P50" s="9">
        <v>0.85499999999999998</v>
      </c>
      <c r="Q50" s="9">
        <v>0.17499999999999999</v>
      </c>
      <c r="R50" s="19">
        <f t="shared" si="11"/>
        <v>5.8734773021664011E-5</v>
      </c>
      <c r="S50" s="20">
        <f t="shared" si="2"/>
        <v>8.3908496738749214E-2</v>
      </c>
      <c r="T50" s="20">
        <f>T49+S50</f>
        <v>1.7847911682412108</v>
      </c>
      <c r="U50" s="77">
        <f t="shared" si="3"/>
        <v>6.5972222222222216E-5</v>
      </c>
      <c r="V50" s="76"/>
      <c r="W50" s="29">
        <f t="shared" si="4"/>
        <v>9.4247916666666653E-2</v>
      </c>
      <c r="X50" s="78">
        <f t="shared" si="7"/>
        <v>2142.9</v>
      </c>
      <c r="Y50" s="79"/>
      <c r="Z50" s="7"/>
      <c r="AA50" s="26"/>
      <c r="AB50" s="28"/>
      <c r="AC50" s="1"/>
    </row>
    <row r="51" spans="1:29" ht="15.75" customHeight="1" thickTop="1" thickBot="1" x14ac:dyDescent="0.35">
      <c r="A51" s="2"/>
      <c r="B51" s="124"/>
      <c r="C51" s="23" t="s">
        <v>84</v>
      </c>
      <c r="D51" s="108">
        <v>7.0000000000000001E-3</v>
      </c>
      <c r="E51" s="85"/>
      <c r="F51" s="86"/>
      <c r="G51" s="39">
        <v>9593</v>
      </c>
      <c r="H51" s="38">
        <f t="shared" si="5"/>
        <v>33.575499999999998</v>
      </c>
      <c r="I51" s="83">
        <f t="shared" si="6"/>
        <v>39.970833333333331</v>
      </c>
      <c r="J51" s="76"/>
      <c r="K51" s="82">
        <f t="shared" si="9"/>
        <v>49.963541666666664</v>
      </c>
      <c r="L51" s="76"/>
      <c r="M51" s="6">
        <v>1</v>
      </c>
      <c r="N51" s="23" t="s">
        <v>72</v>
      </c>
      <c r="O51" s="24" t="s">
        <v>73</v>
      </c>
      <c r="P51" s="9">
        <v>0.85499999999999998</v>
      </c>
      <c r="Q51" s="9">
        <v>0.17499999999999999</v>
      </c>
      <c r="R51" s="19">
        <f t="shared" si="11"/>
        <v>5.8734773021664011E-5</v>
      </c>
      <c r="S51" s="20">
        <f t="shared" si="2"/>
        <v>0.19720493715888798</v>
      </c>
      <c r="T51" s="20">
        <f>T47+S51</f>
        <v>0.7154218395290296</v>
      </c>
      <c r="U51" s="77">
        <f t="shared" si="3"/>
        <v>6.5972222222222216E-5</v>
      </c>
      <c r="V51" s="76"/>
      <c r="W51" s="29">
        <f t="shared" si="4"/>
        <v>0.22150503472222219</v>
      </c>
      <c r="X51" s="78">
        <f t="shared" si="7"/>
        <v>8633.7000000000007</v>
      </c>
      <c r="Y51" s="79"/>
      <c r="Z51" s="7"/>
      <c r="AA51" s="26"/>
      <c r="AB51" s="28"/>
      <c r="AC51" s="1"/>
    </row>
    <row r="52" spans="1:29" ht="15.75" customHeight="1" thickTop="1" thickBot="1" x14ac:dyDescent="0.35">
      <c r="A52" s="2"/>
      <c r="B52" s="124"/>
      <c r="C52" s="22" t="s">
        <v>78</v>
      </c>
      <c r="D52" s="84">
        <v>2.1999999999999999E-2</v>
      </c>
      <c r="E52" s="85"/>
      <c r="F52" s="86"/>
      <c r="G52" s="39">
        <v>8220</v>
      </c>
      <c r="H52" s="38">
        <f t="shared" si="5"/>
        <v>90.42</v>
      </c>
      <c r="I52" s="83">
        <f t="shared" si="6"/>
        <v>34.25</v>
      </c>
      <c r="J52" s="76"/>
      <c r="K52" s="82">
        <f t="shared" si="9"/>
        <v>42.8125</v>
      </c>
      <c r="L52" s="76"/>
      <c r="M52" s="6">
        <v>1</v>
      </c>
      <c r="N52" s="23" t="s">
        <v>72</v>
      </c>
      <c r="O52" s="24" t="s">
        <v>73</v>
      </c>
      <c r="P52" s="9">
        <v>0.85499999999999998</v>
      </c>
      <c r="Q52" s="9">
        <v>0.17499999999999999</v>
      </c>
      <c r="R52" s="19">
        <f t="shared" si="11"/>
        <v>5.8734773021664011E-5</v>
      </c>
      <c r="S52" s="20">
        <f>(H52*R52)*100</f>
        <v>0.53107981766188594</v>
      </c>
      <c r="T52" s="20">
        <f>T51+S52</f>
        <v>1.2465016571909155</v>
      </c>
      <c r="U52" s="77">
        <f t="shared" si="3"/>
        <v>6.5972222222222216E-5</v>
      </c>
      <c r="V52" s="76"/>
      <c r="W52" s="29">
        <f t="shared" si="4"/>
        <v>0.59652083333333328</v>
      </c>
      <c r="X52" s="78">
        <f t="shared" si="7"/>
        <v>7398</v>
      </c>
      <c r="Y52" s="79"/>
      <c r="Z52" s="7"/>
      <c r="AA52" s="26"/>
      <c r="AB52" s="28"/>
      <c r="AC52" s="1"/>
    </row>
    <row r="53" spans="1:29" ht="15.75" customHeight="1" thickTop="1" thickBot="1" x14ac:dyDescent="0.35">
      <c r="A53" s="2"/>
      <c r="B53" s="124"/>
      <c r="C53" s="22" t="s">
        <v>85</v>
      </c>
      <c r="D53" s="84">
        <v>2.1999999999999999E-2</v>
      </c>
      <c r="E53" s="85"/>
      <c r="F53" s="86"/>
      <c r="G53" s="39">
        <v>4093</v>
      </c>
      <c r="H53" s="38">
        <f t="shared" si="5"/>
        <v>45.022999999999996</v>
      </c>
      <c r="I53" s="83">
        <f t="shared" si="6"/>
        <v>17.054166666666667</v>
      </c>
      <c r="J53" s="76"/>
      <c r="K53" s="82">
        <f t="shared" si="9"/>
        <v>21.317708333333336</v>
      </c>
      <c r="L53" s="76"/>
      <c r="M53" s="6">
        <v>1</v>
      </c>
      <c r="N53" s="23" t="s">
        <v>72</v>
      </c>
      <c r="O53" s="24" t="s">
        <v>73</v>
      </c>
      <c r="P53" s="9">
        <v>0.85499999999999998</v>
      </c>
      <c r="Q53" s="9">
        <v>0.17499999999999999</v>
      </c>
      <c r="R53" s="19">
        <f t="shared" si="11"/>
        <v>5.8734773021664011E-5</v>
      </c>
      <c r="S53" s="20">
        <f t="shared" si="2"/>
        <v>0.26444156857543782</v>
      </c>
      <c r="T53" s="20">
        <f>T52+S53</f>
        <v>1.5109432257663533</v>
      </c>
      <c r="U53" s="77">
        <f t="shared" si="3"/>
        <v>6.5972222222222216E-5</v>
      </c>
      <c r="V53" s="76"/>
      <c r="W53" s="29">
        <f t="shared" si="4"/>
        <v>0.29702673611111108</v>
      </c>
      <c r="X53" s="78">
        <f t="shared" si="7"/>
        <v>3683.7000000000003</v>
      </c>
      <c r="Y53" s="79"/>
      <c r="Z53" s="7"/>
      <c r="AA53" s="26"/>
      <c r="AB53" s="28"/>
      <c r="AC53" s="1"/>
    </row>
    <row r="54" spans="1:29" ht="15.75" customHeight="1" thickTop="1" thickBot="1" x14ac:dyDescent="0.35">
      <c r="A54" s="2"/>
      <c r="B54" s="124"/>
      <c r="C54" s="22" t="s">
        <v>96</v>
      </c>
      <c r="D54" s="84">
        <v>1.6E-2</v>
      </c>
      <c r="E54" s="85"/>
      <c r="F54" s="86"/>
      <c r="G54" s="39">
        <v>15408</v>
      </c>
      <c r="H54" s="38">
        <f t="shared" si="5"/>
        <v>123.264</v>
      </c>
      <c r="I54" s="83">
        <f t="shared" si="6"/>
        <v>64.2</v>
      </c>
      <c r="J54" s="76"/>
      <c r="K54" s="82">
        <f t="shared" si="9"/>
        <v>80.25</v>
      </c>
      <c r="L54" s="76"/>
      <c r="M54" s="6">
        <v>1</v>
      </c>
      <c r="N54" s="23" t="s">
        <v>72</v>
      </c>
      <c r="O54" s="24" t="s">
        <v>73</v>
      </c>
      <c r="P54" s="9">
        <v>0.85499999999999998</v>
      </c>
      <c r="Q54" s="9">
        <v>0.17499999999999999</v>
      </c>
      <c r="R54" s="19">
        <f t="shared" si="11"/>
        <v>5.8734773021664011E-5</v>
      </c>
      <c r="S54" s="20">
        <f t="shared" si="2"/>
        <v>0.72398830617423926</v>
      </c>
      <c r="T54" s="20">
        <f>S54</f>
        <v>0.72398830617423926</v>
      </c>
      <c r="U54" s="77">
        <f t="shared" si="3"/>
        <v>6.5972222222222216E-5</v>
      </c>
      <c r="V54" s="76"/>
      <c r="W54" s="29">
        <f t="shared" si="4"/>
        <v>0.81319999999999981</v>
      </c>
      <c r="X54" s="78">
        <f t="shared" si="7"/>
        <v>13867.2</v>
      </c>
      <c r="Y54" s="79"/>
      <c r="Z54" s="7"/>
      <c r="AA54" s="26"/>
      <c r="AB54" s="28"/>
      <c r="AC54" s="1"/>
    </row>
    <row r="55" spans="1:29" ht="15.75" customHeight="1" thickTop="1" thickBot="1" x14ac:dyDescent="0.35">
      <c r="A55" s="2"/>
      <c r="B55" s="124"/>
      <c r="C55" s="22" t="s">
        <v>81</v>
      </c>
      <c r="D55" s="84">
        <v>1.2E-2</v>
      </c>
      <c r="E55" s="85"/>
      <c r="F55" s="86"/>
      <c r="G55" s="39">
        <v>10432</v>
      </c>
      <c r="H55" s="38">
        <f t="shared" si="5"/>
        <v>62.591999999999999</v>
      </c>
      <c r="I55" s="83">
        <f t="shared" si="6"/>
        <v>43.466666666666669</v>
      </c>
      <c r="J55" s="76"/>
      <c r="K55" s="82">
        <f t="shared" si="9"/>
        <v>54.333333333333336</v>
      </c>
      <c r="L55" s="76"/>
      <c r="M55" s="6">
        <v>1</v>
      </c>
      <c r="N55" s="23" t="s">
        <v>72</v>
      </c>
      <c r="O55" s="24" t="s">
        <v>73</v>
      </c>
      <c r="P55" s="9">
        <v>0.85499999999999998</v>
      </c>
      <c r="Q55" s="9">
        <v>0.17499999999999999</v>
      </c>
      <c r="R55" s="19">
        <f t="shared" si="11"/>
        <v>5.8734773021664011E-5</v>
      </c>
      <c r="S55" s="20">
        <f t="shared" si="2"/>
        <v>0.36763269129719939</v>
      </c>
      <c r="T55" s="20">
        <f>T54+S55</f>
        <v>1.0916209974714386</v>
      </c>
      <c r="U55" s="77">
        <f t="shared" si="3"/>
        <v>6.5972222222222216E-5</v>
      </c>
      <c r="V55" s="76"/>
      <c r="W55" s="29">
        <f t="shared" si="4"/>
        <v>0.41293333333333332</v>
      </c>
      <c r="X55" s="78">
        <f t="shared" si="7"/>
        <v>9388.8000000000011</v>
      </c>
      <c r="Y55" s="79"/>
      <c r="Z55" s="7"/>
      <c r="AA55" s="26"/>
      <c r="AB55" s="28"/>
      <c r="AC55" s="1"/>
    </row>
    <row r="56" spans="1:29" ht="15.75" customHeight="1" thickTop="1" thickBot="1" x14ac:dyDescent="0.35">
      <c r="A56" s="2"/>
      <c r="B56" s="124"/>
      <c r="C56" s="22" t="s">
        <v>86</v>
      </c>
      <c r="D56" s="108">
        <v>0.02</v>
      </c>
      <c r="E56" s="98"/>
      <c r="F56" s="98"/>
      <c r="G56" s="39">
        <v>5542</v>
      </c>
      <c r="H56" s="38">
        <f t="shared" si="5"/>
        <v>55.42</v>
      </c>
      <c r="I56" s="83">
        <f t="shared" si="6"/>
        <v>23.091666666666665</v>
      </c>
      <c r="J56" s="101"/>
      <c r="K56" s="82">
        <f t="shared" si="9"/>
        <v>28.864583333333332</v>
      </c>
      <c r="L56" s="148"/>
      <c r="M56" s="6">
        <v>1</v>
      </c>
      <c r="N56" s="23" t="s">
        <v>72</v>
      </c>
      <c r="O56" s="24" t="s">
        <v>73</v>
      </c>
      <c r="P56" s="9">
        <v>0.85499999999999998</v>
      </c>
      <c r="Q56" s="9">
        <v>0.17499999999999999</v>
      </c>
      <c r="R56" s="19">
        <f t="shared" si="11"/>
        <v>5.8734773021664011E-5</v>
      </c>
      <c r="S56" s="20">
        <f t="shared" si="2"/>
        <v>0.32550811208606195</v>
      </c>
      <c r="T56" s="20">
        <f>T55+S56</f>
        <v>1.4171291095575005</v>
      </c>
      <c r="U56" s="77">
        <f t="shared" si="3"/>
        <v>6.5972222222222216E-5</v>
      </c>
      <c r="V56" s="138"/>
      <c r="W56" s="29">
        <f t="shared" si="4"/>
        <v>0.36561805555555554</v>
      </c>
      <c r="X56" s="136">
        <f t="shared" si="7"/>
        <v>4987.8</v>
      </c>
      <c r="Y56" s="137"/>
      <c r="Z56" s="7"/>
      <c r="AA56" s="26"/>
      <c r="AB56" s="28"/>
      <c r="AC56" s="1"/>
    </row>
    <row r="57" spans="1:29" ht="15.75" customHeight="1" thickTop="1" thickBot="1" x14ac:dyDescent="0.35">
      <c r="A57" s="2"/>
      <c r="B57" s="133" t="s">
        <v>92</v>
      </c>
      <c r="C57" s="18" t="s">
        <v>71</v>
      </c>
      <c r="D57" s="92">
        <v>1.7999999999999999E-2</v>
      </c>
      <c r="E57" s="93"/>
      <c r="F57" s="94"/>
      <c r="G57" s="69">
        <v>3276</v>
      </c>
      <c r="H57" s="12">
        <f t="shared" si="5"/>
        <v>29.483999999999998</v>
      </c>
      <c r="I57" s="107">
        <f t="shared" si="6"/>
        <v>13.65</v>
      </c>
      <c r="J57" s="81"/>
      <c r="K57" s="82">
        <f t="shared" si="9"/>
        <v>17.0625</v>
      </c>
      <c r="L57" s="88"/>
      <c r="M57" s="52">
        <v>1</v>
      </c>
      <c r="N57" s="53" t="s">
        <v>72</v>
      </c>
      <c r="O57" s="54" t="s">
        <v>73</v>
      </c>
      <c r="P57" s="36">
        <v>0.85499999999999998</v>
      </c>
      <c r="Q57" s="9">
        <v>0.17499999999999999</v>
      </c>
      <c r="R57" s="19">
        <f t="shared" ref="R57:R75" si="12">(P57*0.9 + Q57*SIN(ACOS(0.9))) / (120^2)</f>
        <v>5.8734773021664011E-5</v>
      </c>
      <c r="S57" s="20">
        <f t="shared" si="2"/>
        <v>0.17317360477707416</v>
      </c>
      <c r="T57" s="30">
        <f>S57</f>
        <v>0.17317360477707416</v>
      </c>
      <c r="U57" s="77">
        <f t="shared" si="3"/>
        <v>6.5972222222222216E-5</v>
      </c>
      <c r="V57" s="76"/>
      <c r="W57" s="29">
        <f t="shared" si="4"/>
        <v>0.19451249999999998</v>
      </c>
      <c r="X57" s="78">
        <f t="shared" si="7"/>
        <v>2948.4</v>
      </c>
      <c r="Y57" s="79"/>
      <c r="Z57" s="7"/>
      <c r="AA57" s="26"/>
      <c r="AB57" s="28"/>
      <c r="AC57" s="1"/>
    </row>
    <row r="58" spans="1:29" ht="15.75" customHeight="1" thickTop="1" thickBot="1" x14ac:dyDescent="0.35">
      <c r="A58" s="2"/>
      <c r="B58" s="124"/>
      <c r="C58" s="37" t="s">
        <v>104</v>
      </c>
      <c r="D58" s="95">
        <v>2.8000000000000001E-2</v>
      </c>
      <c r="E58" s="86"/>
      <c r="F58" s="97"/>
      <c r="G58" s="70">
        <v>23134</v>
      </c>
      <c r="H58" s="38">
        <f t="shared" si="5"/>
        <v>323.87600000000003</v>
      </c>
      <c r="I58" s="107">
        <f t="shared" si="6"/>
        <v>96.391666666666666</v>
      </c>
      <c r="J58" s="81"/>
      <c r="K58" s="82">
        <f t="shared" si="9"/>
        <v>120.48958333333333</v>
      </c>
      <c r="L58" s="88"/>
      <c r="M58" s="55">
        <v>1</v>
      </c>
      <c r="N58" s="37" t="s">
        <v>72</v>
      </c>
      <c r="O58" s="56" t="s">
        <v>73</v>
      </c>
      <c r="P58" s="36">
        <v>0.85499999999999998</v>
      </c>
      <c r="Q58" s="9">
        <v>0.17499999999999999</v>
      </c>
      <c r="R58" s="19">
        <f t="shared" si="12"/>
        <v>5.8734773021664011E-5</v>
      </c>
      <c r="S58" s="20">
        <f t="shared" si="2"/>
        <v>1.9022783347164456</v>
      </c>
      <c r="T58" s="20">
        <f>T57+S58</f>
        <v>2.0754519394935196</v>
      </c>
      <c r="U58" s="77">
        <f t="shared" si="3"/>
        <v>6.5972222222222216E-5</v>
      </c>
      <c r="V58" s="76"/>
      <c r="W58" s="29">
        <f t="shared" si="4"/>
        <v>2.1366819444444447</v>
      </c>
      <c r="X58" s="78">
        <f t="shared" si="7"/>
        <v>20820.600000000002</v>
      </c>
      <c r="Y58" s="79"/>
      <c r="Z58" s="7"/>
      <c r="AA58" s="26"/>
      <c r="AB58" s="28"/>
      <c r="AC58" s="1"/>
    </row>
    <row r="59" spans="1:29" ht="15.75" customHeight="1" thickTop="1" thickBot="1" x14ac:dyDescent="0.35">
      <c r="A59" s="2"/>
      <c r="B59" s="124"/>
      <c r="C59" s="37" t="s">
        <v>75</v>
      </c>
      <c r="D59" s="95">
        <v>0.03</v>
      </c>
      <c r="E59" s="98"/>
      <c r="F59" s="99"/>
      <c r="G59" s="70">
        <v>9026</v>
      </c>
      <c r="H59" s="38">
        <f>(G59/2)*D59</f>
        <v>135.38999999999999</v>
      </c>
      <c r="I59" s="107">
        <f>(G59/240)</f>
        <v>37.608333333333334</v>
      </c>
      <c r="J59" s="81"/>
      <c r="K59" s="82">
        <f t="shared" si="9"/>
        <v>47.010416666666671</v>
      </c>
      <c r="L59" s="88"/>
      <c r="M59" s="55">
        <v>1</v>
      </c>
      <c r="N59" s="37" t="s">
        <v>72</v>
      </c>
      <c r="O59" s="56" t="s">
        <v>73</v>
      </c>
      <c r="P59" s="36">
        <v>0.85499999999999998</v>
      </c>
      <c r="Q59" s="9">
        <v>0.17499999999999999</v>
      </c>
      <c r="R59" s="19">
        <f t="shared" si="12"/>
        <v>5.8734773021664011E-5</v>
      </c>
      <c r="S59" s="20">
        <f t="shared" si="2"/>
        <v>0.79521009194030901</v>
      </c>
      <c r="T59" s="20">
        <f>T58+S59</f>
        <v>2.8706620314338287</v>
      </c>
      <c r="U59" s="77">
        <f t="shared" si="3"/>
        <v>6.5972222222222216E-5</v>
      </c>
      <c r="V59" s="76"/>
      <c r="W59" s="29">
        <f t="shared" si="4"/>
        <v>0.89319791666666648</v>
      </c>
      <c r="X59" s="78" t="e">
        <f>(#REF!*0.9)</f>
        <v>#REF!</v>
      </c>
      <c r="Y59" s="79"/>
      <c r="Z59" s="7"/>
      <c r="AA59" s="26"/>
      <c r="AB59" s="28"/>
      <c r="AC59" s="1"/>
    </row>
    <row r="60" spans="1:29" ht="15.75" customHeight="1" thickTop="1" thickBot="1" x14ac:dyDescent="0.35">
      <c r="A60" s="2"/>
      <c r="B60" s="124"/>
      <c r="C60" s="37" t="s">
        <v>76</v>
      </c>
      <c r="D60" s="95">
        <v>1.2999999999999999E-2</v>
      </c>
      <c r="E60" s="98"/>
      <c r="F60" s="99"/>
      <c r="G60" s="181">
        <v>4861</v>
      </c>
      <c r="H60" s="38">
        <f>(G59/2)*D60</f>
        <v>58.668999999999997</v>
      </c>
      <c r="I60" s="107">
        <f>(G59/240)</f>
        <v>37.608333333333334</v>
      </c>
      <c r="J60" s="81"/>
      <c r="K60" s="82">
        <f t="shared" si="9"/>
        <v>47.010416666666671</v>
      </c>
      <c r="L60" s="88"/>
      <c r="M60" s="55">
        <v>1</v>
      </c>
      <c r="N60" s="37" t="s">
        <v>72</v>
      </c>
      <c r="O60" s="56" t="s">
        <v>73</v>
      </c>
      <c r="P60" s="36">
        <v>0.85499999999999998</v>
      </c>
      <c r="Q60" s="9">
        <v>0.17499999999999999</v>
      </c>
      <c r="R60" s="19">
        <f t="shared" si="12"/>
        <v>5.8734773021664011E-5</v>
      </c>
      <c r="S60" s="20">
        <f t="shared" si="2"/>
        <v>0.34459103984080058</v>
      </c>
      <c r="T60" s="20">
        <f>S60</f>
        <v>0.34459103984080058</v>
      </c>
      <c r="U60" s="77">
        <f t="shared" si="3"/>
        <v>6.5972222222222216E-5</v>
      </c>
      <c r="V60" s="76"/>
      <c r="W60" s="29">
        <f t="shared" si="4"/>
        <v>0.38705243055555549</v>
      </c>
      <c r="X60" s="78">
        <f>(G59*0.9)</f>
        <v>8123.4000000000005</v>
      </c>
      <c r="Y60" s="79"/>
      <c r="Z60" s="7"/>
      <c r="AA60" s="26"/>
      <c r="AB60" s="28"/>
      <c r="AC60" s="1"/>
    </row>
    <row r="61" spans="1:29" ht="15.75" customHeight="1" thickTop="1" thickBot="1" x14ac:dyDescent="0.35">
      <c r="A61" s="2"/>
      <c r="B61" s="124"/>
      <c r="C61" s="37" t="s">
        <v>106</v>
      </c>
      <c r="D61" s="95">
        <v>1.2999999999999999E-2</v>
      </c>
      <c r="E61" s="98"/>
      <c r="F61" s="99"/>
      <c r="G61" s="70">
        <v>3276</v>
      </c>
      <c r="H61" s="38">
        <f t="shared" si="5"/>
        <v>21.294</v>
      </c>
      <c r="I61" s="107">
        <f t="shared" si="6"/>
        <v>13.65</v>
      </c>
      <c r="J61" s="81"/>
      <c r="K61" s="82">
        <f t="shared" si="9"/>
        <v>17.0625</v>
      </c>
      <c r="L61" s="88"/>
      <c r="M61" s="55">
        <v>1</v>
      </c>
      <c r="N61" s="37" t="s">
        <v>72</v>
      </c>
      <c r="O61" s="56" t="s">
        <v>73</v>
      </c>
      <c r="P61" s="36">
        <v>0.85499999999999998</v>
      </c>
      <c r="Q61" s="9">
        <v>0.17499999999999999</v>
      </c>
      <c r="R61" s="19">
        <f t="shared" si="12"/>
        <v>5.8734773021664011E-5</v>
      </c>
      <c r="S61" s="20">
        <f t="shared" si="2"/>
        <v>0.12506982567233135</v>
      </c>
      <c r="T61" s="20">
        <f>T60+S61</f>
        <v>0.46966086551313191</v>
      </c>
      <c r="U61" s="77">
        <f t="shared" si="3"/>
        <v>6.5972222222222216E-5</v>
      </c>
      <c r="V61" s="76"/>
      <c r="W61" s="29">
        <f t="shared" si="4"/>
        <v>0.14048124999999997</v>
      </c>
      <c r="X61" s="78">
        <f t="shared" si="7"/>
        <v>2948.4</v>
      </c>
      <c r="Y61" s="79"/>
      <c r="Z61" s="7"/>
      <c r="AA61" s="26"/>
      <c r="AB61" s="28"/>
      <c r="AC61" s="1"/>
    </row>
    <row r="62" spans="1:29" ht="15.75" customHeight="1" thickTop="1" thickBot="1" x14ac:dyDescent="0.35">
      <c r="A62" s="2"/>
      <c r="B62" s="124"/>
      <c r="C62" s="37" t="s">
        <v>107</v>
      </c>
      <c r="D62" s="95">
        <v>2.3E-2</v>
      </c>
      <c r="E62" s="98"/>
      <c r="F62" s="99"/>
      <c r="G62" s="70">
        <v>2040</v>
      </c>
      <c r="H62" s="38">
        <f t="shared" si="5"/>
        <v>23.46</v>
      </c>
      <c r="I62" s="83">
        <f t="shared" si="6"/>
        <v>8.5</v>
      </c>
      <c r="J62" s="101"/>
      <c r="K62" s="82">
        <f t="shared" si="9"/>
        <v>10.625</v>
      </c>
      <c r="L62" s="102"/>
      <c r="M62" s="55">
        <v>1</v>
      </c>
      <c r="N62" s="37" t="s">
        <v>72</v>
      </c>
      <c r="O62" s="56" t="s">
        <v>73</v>
      </c>
      <c r="P62" s="36">
        <v>0.85499999999999998</v>
      </c>
      <c r="Q62" s="9">
        <v>0.17499999999999999</v>
      </c>
      <c r="R62" s="19">
        <f t="shared" si="12"/>
        <v>5.8734773021664011E-5</v>
      </c>
      <c r="S62" s="20">
        <f t="shared" si="2"/>
        <v>0.13779177750882377</v>
      </c>
      <c r="T62" s="20">
        <f>T61+S62</f>
        <v>0.60745264302195567</v>
      </c>
      <c r="U62" s="77">
        <f t="shared" si="3"/>
        <v>6.5972222222222216E-5</v>
      </c>
      <c r="V62" s="138"/>
      <c r="W62" s="29">
        <f t="shared" si="4"/>
        <v>0.15477083333333333</v>
      </c>
      <c r="X62" s="136">
        <f t="shared" si="7"/>
        <v>1836</v>
      </c>
      <c r="Y62" s="137"/>
      <c r="Z62" s="7"/>
      <c r="AA62" s="26"/>
      <c r="AB62" s="28"/>
      <c r="AC62" s="1"/>
    </row>
    <row r="63" spans="1:29" ht="15.75" customHeight="1" thickTop="1" thickBot="1" x14ac:dyDescent="0.35">
      <c r="A63" s="2"/>
      <c r="B63" s="71" t="s">
        <v>93</v>
      </c>
      <c r="C63" s="13" t="s">
        <v>71</v>
      </c>
      <c r="D63" s="98">
        <v>1.6E-2</v>
      </c>
      <c r="E63" s="86"/>
      <c r="F63" s="86"/>
      <c r="G63" s="39">
        <v>6490</v>
      </c>
      <c r="H63" s="40">
        <f t="shared" si="5"/>
        <v>51.92</v>
      </c>
      <c r="I63" s="73">
        <f t="shared" si="6"/>
        <v>27.041666666666668</v>
      </c>
      <c r="J63" s="74"/>
      <c r="K63" s="75">
        <f t="shared" si="9"/>
        <v>33.802083333333336</v>
      </c>
      <c r="L63" s="76"/>
      <c r="M63" s="6">
        <v>1</v>
      </c>
      <c r="N63" s="23" t="s">
        <v>72</v>
      </c>
      <c r="O63" s="24" t="s">
        <v>73</v>
      </c>
      <c r="P63" s="9">
        <v>0.85499999999999998</v>
      </c>
      <c r="Q63" s="9">
        <v>0.17499999999999999</v>
      </c>
      <c r="R63" s="31">
        <f t="shared" si="12"/>
        <v>5.8734773021664011E-5</v>
      </c>
      <c r="S63" s="32">
        <f t="shared" si="2"/>
        <v>0.30495094152847957</v>
      </c>
      <c r="T63" s="33">
        <f>S63</f>
        <v>0.30495094152847957</v>
      </c>
      <c r="U63" s="77">
        <f t="shared" si="3"/>
        <v>6.5972222222222216E-5</v>
      </c>
      <c r="V63" s="76"/>
      <c r="W63" s="29">
        <f t="shared" si="4"/>
        <v>0.34252777777777776</v>
      </c>
      <c r="X63" s="78">
        <f t="shared" si="7"/>
        <v>5841</v>
      </c>
      <c r="Y63" s="79"/>
      <c r="Z63" s="7"/>
      <c r="AA63" s="26"/>
      <c r="AB63" s="28"/>
      <c r="AC63" s="1"/>
    </row>
    <row r="64" spans="1:29" ht="15.75" customHeight="1" thickTop="1" thickBot="1" x14ac:dyDescent="0.35">
      <c r="A64" s="2"/>
      <c r="B64" s="72"/>
      <c r="C64" s="34" t="s">
        <v>74</v>
      </c>
      <c r="D64" s="84">
        <v>1.4E-2</v>
      </c>
      <c r="E64" s="85"/>
      <c r="F64" s="86"/>
      <c r="G64" s="39">
        <v>4088</v>
      </c>
      <c r="H64" s="41">
        <f t="shared" si="5"/>
        <v>28.616</v>
      </c>
      <c r="I64" s="80">
        <f t="shared" si="6"/>
        <v>17.033333333333335</v>
      </c>
      <c r="J64" s="81"/>
      <c r="K64" s="82">
        <f t="shared" si="9"/>
        <v>21.291666666666668</v>
      </c>
      <c r="L64" s="76"/>
      <c r="M64" s="6">
        <v>1</v>
      </c>
      <c r="N64" s="23" t="s">
        <v>72</v>
      </c>
      <c r="O64" s="24" t="s">
        <v>73</v>
      </c>
      <c r="P64" s="9">
        <v>0.85499999999999998</v>
      </c>
      <c r="Q64" s="9">
        <v>0.17499999999999999</v>
      </c>
      <c r="R64" s="19">
        <f t="shared" si="12"/>
        <v>5.8734773021664011E-5</v>
      </c>
      <c r="S64" s="20">
        <f t="shared" si="2"/>
        <v>0.16807542647879373</v>
      </c>
      <c r="T64" s="20">
        <f>T63+S64</f>
        <v>0.47302636800727327</v>
      </c>
      <c r="U64" s="77">
        <f t="shared" si="3"/>
        <v>6.5972222222222216E-5</v>
      </c>
      <c r="V64" s="76"/>
      <c r="W64" s="29">
        <f t="shared" si="4"/>
        <v>0.1887861111111111</v>
      </c>
      <c r="X64" s="78">
        <f t="shared" si="7"/>
        <v>3679.2000000000003</v>
      </c>
      <c r="Y64" s="79"/>
      <c r="Z64" s="7"/>
      <c r="AA64" s="26"/>
      <c r="AB64" s="28"/>
      <c r="AC64" s="1"/>
    </row>
    <row r="65" spans="1:29" ht="15.75" customHeight="1" thickTop="1" thickBot="1" x14ac:dyDescent="0.35">
      <c r="A65" s="2"/>
      <c r="B65" s="72"/>
      <c r="C65" s="34" t="s">
        <v>105</v>
      </c>
      <c r="D65" s="84">
        <v>2.7E-2</v>
      </c>
      <c r="E65" s="85"/>
      <c r="F65" s="86"/>
      <c r="G65" s="39">
        <v>3286</v>
      </c>
      <c r="H65" s="41">
        <f t="shared" si="5"/>
        <v>44.360999999999997</v>
      </c>
      <c r="I65" s="83">
        <f t="shared" si="6"/>
        <v>13.691666666666666</v>
      </c>
      <c r="J65" s="76"/>
      <c r="K65" s="82">
        <f t="shared" si="9"/>
        <v>17.114583333333332</v>
      </c>
      <c r="L65" s="76"/>
      <c r="M65" s="6">
        <v>1</v>
      </c>
      <c r="N65" s="23" t="s">
        <v>72</v>
      </c>
      <c r="O65" s="24" t="s">
        <v>73</v>
      </c>
      <c r="P65" s="9">
        <v>0.85499999999999998</v>
      </c>
      <c r="Q65" s="9">
        <v>0.17499999999999999</v>
      </c>
      <c r="R65" s="19">
        <f t="shared" si="12"/>
        <v>5.8734773021664011E-5</v>
      </c>
      <c r="S65" s="20">
        <f t="shared" si="2"/>
        <v>0.26055332660140368</v>
      </c>
      <c r="T65" s="20">
        <f>T64+S65</f>
        <v>0.733579694608677</v>
      </c>
      <c r="U65" s="77">
        <f t="shared" si="3"/>
        <v>6.5972222222222216E-5</v>
      </c>
      <c r="V65" s="76"/>
      <c r="W65" s="29">
        <f t="shared" si="4"/>
        <v>0.29265937499999994</v>
      </c>
      <c r="X65" s="78">
        <f t="shared" si="7"/>
        <v>2957.4</v>
      </c>
      <c r="Y65" s="79"/>
      <c r="Z65" s="7"/>
      <c r="AA65" s="26"/>
      <c r="AB65" s="28"/>
      <c r="AC65" s="1"/>
    </row>
    <row r="66" spans="1:29" ht="15.75" customHeight="1" thickTop="1" thickBot="1" x14ac:dyDescent="0.35">
      <c r="A66" s="2"/>
      <c r="B66" s="72"/>
      <c r="C66" s="34" t="s">
        <v>76</v>
      </c>
      <c r="D66" s="84">
        <v>1.9E-2</v>
      </c>
      <c r="E66" s="85"/>
      <c r="F66" s="86"/>
      <c r="G66" s="39">
        <v>3277</v>
      </c>
      <c r="H66" s="41">
        <f t="shared" si="5"/>
        <v>31.131499999999999</v>
      </c>
      <c r="I66" s="83">
        <f t="shared" si="6"/>
        <v>13.654166666666667</v>
      </c>
      <c r="J66" s="76"/>
      <c r="K66" s="82">
        <f t="shared" si="9"/>
        <v>17.067708333333332</v>
      </c>
      <c r="L66" s="76"/>
      <c r="M66" s="6">
        <v>1</v>
      </c>
      <c r="N66" s="23" t="s">
        <v>72</v>
      </c>
      <c r="O66" s="24" t="s">
        <v>73</v>
      </c>
      <c r="P66" s="9">
        <v>0.85499999999999998</v>
      </c>
      <c r="Q66" s="9">
        <v>0.17499999999999999</v>
      </c>
      <c r="R66" s="19">
        <f t="shared" si="12"/>
        <v>5.8734773021664011E-5</v>
      </c>
      <c r="S66" s="20">
        <f t="shared" si="2"/>
        <v>0.18285015863239332</v>
      </c>
      <c r="T66" s="20">
        <f>S66</f>
        <v>0.18285015863239332</v>
      </c>
      <c r="U66" s="77">
        <f t="shared" si="3"/>
        <v>6.5972222222222216E-5</v>
      </c>
      <c r="V66" s="76"/>
      <c r="W66" s="29">
        <f t="shared" si="4"/>
        <v>0.20538142361111109</v>
      </c>
      <c r="X66" s="78">
        <f t="shared" si="7"/>
        <v>2949.3</v>
      </c>
      <c r="Y66" s="79"/>
      <c r="Z66" s="7"/>
      <c r="AA66" s="26"/>
      <c r="AB66" s="28"/>
      <c r="AC66" s="1"/>
    </row>
    <row r="67" spans="1:29" ht="15.75" customHeight="1" thickTop="1" thickBot="1" x14ac:dyDescent="0.35">
      <c r="A67" s="2"/>
      <c r="B67" s="72"/>
      <c r="C67" s="34" t="s">
        <v>84</v>
      </c>
      <c r="D67" s="84">
        <v>3.5000000000000003E-2</v>
      </c>
      <c r="E67" s="85"/>
      <c r="F67" s="86"/>
      <c r="G67" s="39">
        <v>6951</v>
      </c>
      <c r="H67" s="41">
        <f t="shared" si="5"/>
        <v>121.64250000000001</v>
      </c>
      <c r="I67" s="83">
        <f t="shared" si="6"/>
        <v>28.962499999999999</v>
      </c>
      <c r="J67" s="76"/>
      <c r="K67" s="82">
        <f t="shared" si="9"/>
        <v>36.203125</v>
      </c>
      <c r="L67" s="76"/>
      <c r="M67" s="6">
        <v>1</v>
      </c>
      <c r="N67" s="23" t="s">
        <v>72</v>
      </c>
      <c r="O67" s="24" t="s">
        <v>73</v>
      </c>
      <c r="P67" s="9">
        <v>0.85499999999999998</v>
      </c>
      <c r="Q67" s="9">
        <v>0.17499999999999999</v>
      </c>
      <c r="R67" s="19">
        <f t="shared" si="12"/>
        <v>5.8734773021664011E-5</v>
      </c>
      <c r="S67" s="20">
        <f t="shared" si="2"/>
        <v>0.71446446272877651</v>
      </c>
      <c r="T67" s="20">
        <f>T66+S67</f>
        <v>0.8973146213611698</v>
      </c>
      <c r="U67" s="77">
        <f t="shared" si="3"/>
        <v>6.5972222222222216E-5</v>
      </c>
      <c r="V67" s="76"/>
      <c r="W67" s="29">
        <f t="shared" si="4"/>
        <v>0.80250260416666663</v>
      </c>
      <c r="X67" s="78">
        <f t="shared" si="7"/>
        <v>6255.9000000000005</v>
      </c>
      <c r="Y67" s="79"/>
      <c r="Z67" s="7"/>
      <c r="AA67" s="26"/>
      <c r="AB67" s="28"/>
      <c r="AC67" s="1"/>
    </row>
    <row r="68" spans="1:29" ht="15.75" customHeight="1" thickTop="1" thickBot="1" x14ac:dyDescent="0.35">
      <c r="A68" s="2"/>
      <c r="B68" s="72"/>
      <c r="C68" s="34" t="s">
        <v>78</v>
      </c>
      <c r="D68" s="84">
        <v>2.5000000000000001E-2</v>
      </c>
      <c r="E68" s="85"/>
      <c r="F68" s="86"/>
      <c r="G68" s="39">
        <v>5545</v>
      </c>
      <c r="H68" s="41">
        <f t="shared" si="5"/>
        <v>69.3125</v>
      </c>
      <c r="I68" s="83">
        <f t="shared" si="6"/>
        <v>23.104166666666668</v>
      </c>
      <c r="J68" s="76"/>
      <c r="K68" s="82">
        <f t="shared" si="9"/>
        <v>28.880208333333336</v>
      </c>
      <c r="L68" s="76"/>
      <c r="M68" s="6">
        <v>1</v>
      </c>
      <c r="N68" s="23" t="s">
        <v>72</v>
      </c>
      <c r="O68" s="24" t="s">
        <v>73</v>
      </c>
      <c r="P68" s="9">
        <v>0.85499999999999998</v>
      </c>
      <c r="Q68" s="9">
        <v>0.17499999999999999</v>
      </c>
      <c r="R68" s="19">
        <f t="shared" si="12"/>
        <v>5.8734773021664011E-5</v>
      </c>
      <c r="S68" s="20">
        <f t="shared" si="2"/>
        <v>0.40710539550640867</v>
      </c>
      <c r="T68" s="20">
        <f>T67+S68</f>
        <v>1.3044200168675784</v>
      </c>
      <c r="U68" s="77">
        <f t="shared" si="3"/>
        <v>6.5972222222222216E-5</v>
      </c>
      <c r="V68" s="76"/>
      <c r="W68" s="29">
        <f t="shared" si="4"/>
        <v>0.45726996527777775</v>
      </c>
      <c r="X68" s="78">
        <f t="shared" si="7"/>
        <v>4990.5</v>
      </c>
      <c r="Y68" s="79"/>
      <c r="Z68" s="7"/>
      <c r="AA68" s="26"/>
      <c r="AB68" s="28"/>
      <c r="AC68" s="1"/>
    </row>
    <row r="69" spans="1:29" ht="15.75" customHeight="1" thickTop="1" thickBot="1" x14ac:dyDescent="0.35">
      <c r="A69" s="2"/>
      <c r="B69" s="72"/>
      <c r="C69" s="34" t="s">
        <v>79</v>
      </c>
      <c r="D69" s="84">
        <v>3.6999999999999998E-2</v>
      </c>
      <c r="E69" s="85"/>
      <c r="F69" s="86"/>
      <c r="G69" s="39">
        <v>24572</v>
      </c>
      <c r="H69" s="41">
        <f t="shared" ref="H69:H74" si="13">(G69/2)*D69</f>
        <v>454.58199999999999</v>
      </c>
      <c r="I69" s="83">
        <f t="shared" si="6"/>
        <v>102.38333333333334</v>
      </c>
      <c r="J69" s="76"/>
      <c r="K69" s="82">
        <f t="shared" si="9"/>
        <v>127.97916666666667</v>
      </c>
      <c r="L69" s="76"/>
      <c r="M69" s="6">
        <v>1</v>
      </c>
      <c r="N69" s="23" t="s">
        <v>72</v>
      </c>
      <c r="O69" s="24" t="s">
        <v>73</v>
      </c>
      <c r="P69" s="9">
        <v>0.85499999999999998</v>
      </c>
      <c r="Q69" s="9">
        <v>0.17499999999999999</v>
      </c>
      <c r="R69" s="19">
        <f t="shared" si="12"/>
        <v>5.8734773021664011E-5</v>
      </c>
      <c r="S69" s="20">
        <f t="shared" si="2"/>
        <v>2.6699770589734069</v>
      </c>
      <c r="T69" s="20">
        <f>S69</f>
        <v>2.6699770589734069</v>
      </c>
      <c r="U69" s="77">
        <f t="shared" si="3"/>
        <v>6.5972222222222216E-5</v>
      </c>
      <c r="V69" s="76"/>
      <c r="W69" s="29">
        <f t="shared" si="4"/>
        <v>2.9989784722222219</v>
      </c>
      <c r="X69" s="78">
        <f t="shared" si="7"/>
        <v>22114.799999999999</v>
      </c>
      <c r="Y69" s="79"/>
      <c r="Z69" s="7"/>
      <c r="AA69" s="26"/>
      <c r="AB69" s="28"/>
      <c r="AC69" s="1"/>
    </row>
    <row r="70" spans="1:29" ht="15.75" customHeight="1" thickTop="1" thickBot="1" x14ac:dyDescent="0.35">
      <c r="A70" s="2"/>
      <c r="B70" s="72"/>
      <c r="C70" s="34" t="s">
        <v>80</v>
      </c>
      <c r="D70" s="106">
        <v>1.7999999999999999E-2</v>
      </c>
      <c r="E70" s="98"/>
      <c r="F70" s="99"/>
      <c r="G70" s="39">
        <v>21459</v>
      </c>
      <c r="H70" s="41">
        <f t="shared" si="13"/>
        <v>193.13099999999997</v>
      </c>
      <c r="I70" s="83">
        <f t="shared" si="6"/>
        <v>89.412499999999994</v>
      </c>
      <c r="J70" s="76"/>
      <c r="K70" s="82">
        <f t="shared" si="9"/>
        <v>111.765625</v>
      </c>
      <c r="L70" s="76"/>
      <c r="M70" s="6">
        <v>1</v>
      </c>
      <c r="N70" s="23" t="s">
        <v>72</v>
      </c>
      <c r="O70" s="24" t="s">
        <v>73</v>
      </c>
      <c r="P70" s="9">
        <v>0.85499999999999998</v>
      </c>
      <c r="Q70" s="9">
        <v>0.17499999999999999</v>
      </c>
      <c r="R70" s="19">
        <f t="shared" si="12"/>
        <v>5.8734773021664011E-5</v>
      </c>
      <c r="S70" s="20">
        <f t="shared" si="2"/>
        <v>1.1343505448446989</v>
      </c>
      <c r="T70" s="20">
        <f>T69+S70</f>
        <v>3.8043276038181055</v>
      </c>
      <c r="U70" s="77">
        <f t="shared" si="3"/>
        <v>6.5972222222222216E-5</v>
      </c>
      <c r="V70" s="76"/>
      <c r="W70" s="29">
        <f t="shared" si="4"/>
        <v>1.2741281249999996</v>
      </c>
      <c r="X70" s="78">
        <f t="shared" si="7"/>
        <v>19313.100000000002</v>
      </c>
      <c r="Y70" s="79"/>
      <c r="Z70" s="7"/>
      <c r="AA70" s="26"/>
      <c r="AB70" s="28"/>
      <c r="AC70" s="1"/>
    </row>
    <row r="71" spans="1:29" ht="15.75" customHeight="1" thickTop="1" thickBot="1" x14ac:dyDescent="0.35">
      <c r="A71" s="2"/>
      <c r="B71" s="72"/>
      <c r="C71" s="34" t="s">
        <v>81</v>
      </c>
      <c r="D71" s="106">
        <v>1.7000000000000001E-2</v>
      </c>
      <c r="E71" s="98"/>
      <c r="F71" s="99"/>
      <c r="G71" s="39">
        <v>3277</v>
      </c>
      <c r="H71" s="41">
        <f t="shared" si="13"/>
        <v>27.854500000000002</v>
      </c>
      <c r="I71" s="83">
        <f t="shared" si="6"/>
        <v>13.654166666666667</v>
      </c>
      <c r="J71" s="76"/>
      <c r="K71" s="82">
        <f t="shared" si="9"/>
        <v>17.067708333333332</v>
      </c>
      <c r="L71" s="76"/>
      <c r="M71" s="6">
        <v>1</v>
      </c>
      <c r="N71" s="23" t="s">
        <v>72</v>
      </c>
      <c r="O71" s="24" t="s">
        <v>73</v>
      </c>
      <c r="P71" s="9">
        <v>0.85499999999999998</v>
      </c>
      <c r="Q71" s="9">
        <v>0.17499999999999999</v>
      </c>
      <c r="R71" s="19">
        <f t="shared" si="12"/>
        <v>5.8734773021664011E-5</v>
      </c>
      <c r="S71" s="20">
        <f t="shared" si="2"/>
        <v>0.16360277351319402</v>
      </c>
      <c r="T71" s="20">
        <f>T70+S71</f>
        <v>3.9679303773312995</v>
      </c>
      <c r="U71" s="77">
        <f t="shared" si="3"/>
        <v>6.5972222222222216E-5</v>
      </c>
      <c r="V71" s="76"/>
      <c r="W71" s="29">
        <f t="shared" si="4"/>
        <v>0.1837623263888889</v>
      </c>
      <c r="X71" s="78">
        <f t="shared" si="7"/>
        <v>2949.3</v>
      </c>
      <c r="Y71" s="79"/>
      <c r="Z71" s="7"/>
      <c r="AA71" s="26"/>
      <c r="AB71" s="28"/>
      <c r="AC71" s="1"/>
    </row>
    <row r="72" spans="1:29" ht="15.75" customHeight="1" thickTop="1" thickBot="1" x14ac:dyDescent="0.35">
      <c r="A72" s="2"/>
      <c r="B72" s="72"/>
      <c r="C72" s="34" t="s">
        <v>108</v>
      </c>
      <c r="D72" s="106">
        <v>2.1000000000000001E-2</v>
      </c>
      <c r="E72" s="98"/>
      <c r="F72" s="99"/>
      <c r="G72" s="39">
        <v>16544</v>
      </c>
      <c r="H72" s="41">
        <f t="shared" si="13"/>
        <v>173.71200000000002</v>
      </c>
      <c r="I72" s="83">
        <f t="shared" si="6"/>
        <v>68.933333333333337</v>
      </c>
      <c r="J72" s="76"/>
      <c r="K72" s="82">
        <f t="shared" si="9"/>
        <v>86.166666666666671</v>
      </c>
      <c r="L72" s="76"/>
      <c r="M72" s="6">
        <v>1</v>
      </c>
      <c r="N72" s="23" t="s">
        <v>72</v>
      </c>
      <c r="O72" s="24" t="s">
        <v>73</v>
      </c>
      <c r="P72" s="9">
        <v>0.85499999999999998</v>
      </c>
      <c r="Q72" s="9">
        <v>0.17499999999999999</v>
      </c>
      <c r="R72" s="19">
        <f t="shared" si="12"/>
        <v>5.8734773021664011E-5</v>
      </c>
      <c r="S72" s="20">
        <f t="shared" si="2"/>
        <v>1.0202934891139299</v>
      </c>
      <c r="T72" s="20">
        <f>T71+S72</f>
        <v>4.9882238664452299</v>
      </c>
      <c r="U72" s="77">
        <f t="shared" si="3"/>
        <v>6.5972222222222216E-5</v>
      </c>
      <c r="V72" s="76"/>
      <c r="W72" s="29">
        <f t="shared" si="4"/>
        <v>1.1460166666666667</v>
      </c>
      <c r="X72" s="78">
        <f t="shared" si="7"/>
        <v>14889.6</v>
      </c>
      <c r="Y72" s="79"/>
      <c r="Z72" s="7"/>
      <c r="AA72" s="26"/>
      <c r="AB72" s="28"/>
      <c r="AC72" s="1"/>
    </row>
    <row r="73" spans="1:29" ht="15.75" customHeight="1" thickTop="1" thickBot="1" x14ac:dyDescent="0.35">
      <c r="A73" s="2"/>
      <c r="B73" s="72"/>
      <c r="C73" s="34" t="s">
        <v>82</v>
      </c>
      <c r="D73" s="106">
        <v>3.4000000000000002E-2</v>
      </c>
      <c r="E73" s="98"/>
      <c r="F73" s="99"/>
      <c r="G73" s="39">
        <v>3284</v>
      </c>
      <c r="H73" s="41">
        <f t="shared" si="13"/>
        <v>55.828000000000003</v>
      </c>
      <c r="I73" s="83">
        <f t="shared" si="6"/>
        <v>13.683333333333334</v>
      </c>
      <c r="J73" s="76"/>
      <c r="K73" s="82">
        <f t="shared" si="9"/>
        <v>17.104166666666668</v>
      </c>
      <c r="L73" s="76"/>
      <c r="M73" s="6">
        <v>1</v>
      </c>
      <c r="N73" s="23" t="s">
        <v>72</v>
      </c>
      <c r="O73" s="24" t="s">
        <v>73</v>
      </c>
      <c r="P73" s="9">
        <v>0.85499999999999998</v>
      </c>
      <c r="Q73" s="9">
        <v>0.17499999999999999</v>
      </c>
      <c r="R73" s="19">
        <f t="shared" si="12"/>
        <v>5.8734773021664011E-5</v>
      </c>
      <c r="S73" s="20">
        <f t="shared" si="2"/>
        <v>0.32790449082534584</v>
      </c>
      <c r="T73" s="20">
        <f>T72+S73</f>
        <v>5.3161283572705758</v>
      </c>
      <c r="U73" s="77">
        <f t="shared" si="3"/>
        <v>6.5972222222222216E-5</v>
      </c>
      <c r="V73" s="76"/>
      <c r="W73" s="29">
        <f t="shared" si="4"/>
        <v>0.36830972222222219</v>
      </c>
      <c r="X73" s="78">
        <f t="shared" si="7"/>
        <v>2955.6</v>
      </c>
      <c r="Y73" s="79"/>
      <c r="Z73" s="7"/>
      <c r="AA73" s="26"/>
      <c r="AB73" s="28"/>
      <c r="AC73" s="1"/>
    </row>
    <row r="74" spans="1:29" ht="15.75" customHeight="1" thickTop="1" thickBot="1" x14ac:dyDescent="0.35">
      <c r="A74" s="60"/>
      <c r="B74" s="72"/>
      <c r="C74" s="34" t="s">
        <v>95</v>
      </c>
      <c r="D74" s="106">
        <v>1.7999999999999999E-2</v>
      </c>
      <c r="E74" s="98"/>
      <c r="F74" s="99"/>
      <c r="G74" s="39">
        <v>9785</v>
      </c>
      <c r="H74" s="41">
        <f t="shared" si="13"/>
        <v>88.064999999999998</v>
      </c>
      <c r="I74" s="83">
        <f t="shared" ref="I74" si="14">(G74/240)</f>
        <v>40.770833333333336</v>
      </c>
      <c r="J74" s="76"/>
      <c r="K74" s="82">
        <f t="shared" ref="K74" si="15">(I74*1.25)</f>
        <v>50.963541666666671</v>
      </c>
      <c r="L74" s="76"/>
      <c r="M74" s="6">
        <v>1</v>
      </c>
      <c r="N74" s="23" t="s">
        <v>72</v>
      </c>
      <c r="O74" s="24" t="s">
        <v>73</v>
      </c>
      <c r="P74" s="9">
        <v>0.85499999999999998</v>
      </c>
      <c r="Q74" s="9">
        <v>0.17499999999999999</v>
      </c>
      <c r="R74" s="19">
        <f t="shared" ref="R74" si="16">(P74*0.9 + Q74*SIN(ACOS(0.9))) / (120^2)</f>
        <v>5.8734773021664011E-5</v>
      </c>
      <c r="S74" s="20">
        <f t="shared" ref="S74" si="17">(H74*R74)*100</f>
        <v>0.51724777861528404</v>
      </c>
      <c r="T74" s="20">
        <f>T72+S74</f>
        <v>5.5054716450605135</v>
      </c>
      <c r="U74" s="77">
        <f t="shared" ref="U74" si="18">P74/((120^2)*0.9)</f>
        <v>6.5972222222222216E-5</v>
      </c>
      <c r="V74" s="76"/>
      <c r="W74" s="29">
        <f t="shared" ref="W74" si="19">(U74*H74)*100</f>
        <v>0.58098437499999989</v>
      </c>
      <c r="X74" s="78">
        <f t="shared" ref="X74" si="20">(G74*0.9)</f>
        <v>8806.5</v>
      </c>
      <c r="Y74" s="79"/>
      <c r="Z74" s="60"/>
      <c r="AA74" s="63"/>
      <c r="AB74" s="64"/>
      <c r="AC74" s="60"/>
    </row>
    <row r="75" spans="1:29" ht="15.75" customHeight="1" thickTop="1" thickBot="1" x14ac:dyDescent="0.35">
      <c r="A75" s="2"/>
      <c r="B75" s="72"/>
      <c r="C75" s="34" t="s">
        <v>87</v>
      </c>
      <c r="D75" s="84">
        <v>2.3E-2</v>
      </c>
      <c r="E75" s="85"/>
      <c r="F75" s="86"/>
      <c r="G75" s="39">
        <v>4871</v>
      </c>
      <c r="H75" s="41">
        <f t="shared" si="5"/>
        <v>56.016500000000001</v>
      </c>
      <c r="I75" s="83">
        <f t="shared" si="6"/>
        <v>20.295833333333334</v>
      </c>
      <c r="J75" s="76"/>
      <c r="K75" s="82">
        <f t="shared" si="9"/>
        <v>25.369791666666668</v>
      </c>
      <c r="L75" s="76"/>
      <c r="M75" s="6">
        <v>1</v>
      </c>
      <c r="N75" s="23" t="s">
        <v>72</v>
      </c>
      <c r="O75" s="24" t="s">
        <v>73</v>
      </c>
      <c r="P75" s="9">
        <v>0.85499999999999998</v>
      </c>
      <c r="Q75" s="9">
        <v>0.17499999999999999</v>
      </c>
      <c r="R75" s="19">
        <f t="shared" si="12"/>
        <v>5.8734773021664011E-5</v>
      </c>
      <c r="S75" s="20">
        <f t="shared" si="2"/>
        <v>0.32901164129680421</v>
      </c>
      <c r="T75" s="20">
        <f>T74+S75</f>
        <v>5.8344832863573179</v>
      </c>
      <c r="U75" s="77">
        <f t="shared" si="3"/>
        <v>6.5972222222222216E-5</v>
      </c>
      <c r="V75" s="76"/>
      <c r="W75" s="29">
        <f t="shared" si="4"/>
        <v>0.36955329861111108</v>
      </c>
      <c r="X75" s="78">
        <f t="shared" si="7"/>
        <v>4383.9000000000005</v>
      </c>
      <c r="Y75" s="79"/>
      <c r="Z75" s="7"/>
      <c r="AA75" s="26"/>
      <c r="AB75" s="28"/>
      <c r="AC75" s="1"/>
    </row>
    <row r="76" spans="1:29" ht="15.75" customHeight="1" thickTop="1" thickBot="1" x14ac:dyDescent="0.35">
      <c r="A76" s="2"/>
      <c r="B76" s="90" t="s">
        <v>100</v>
      </c>
      <c r="C76" s="61" t="s">
        <v>71</v>
      </c>
      <c r="D76" s="92">
        <v>1.4E-2</v>
      </c>
      <c r="E76" s="93"/>
      <c r="F76" s="94"/>
      <c r="G76" s="68">
        <v>2383</v>
      </c>
      <c r="H76" s="42">
        <f t="shared" ref="H76:H83" si="21">(G76/2)*D76</f>
        <v>16.681000000000001</v>
      </c>
      <c r="I76" s="87">
        <f t="shared" ref="I76:I83" si="22">(G76/240)</f>
        <v>9.9291666666666671</v>
      </c>
      <c r="J76" s="76"/>
      <c r="K76" s="82">
        <f t="shared" ref="K76:K83" si="23">(I76*1.25)</f>
        <v>12.411458333333334</v>
      </c>
      <c r="L76" s="88"/>
      <c r="M76" s="52">
        <v>1</v>
      </c>
      <c r="N76" s="53" t="s">
        <v>72</v>
      </c>
      <c r="O76" s="54" t="s">
        <v>73</v>
      </c>
      <c r="P76" s="36">
        <v>0.85499999999999998</v>
      </c>
      <c r="Q76" s="35">
        <v>0.17499999999999999</v>
      </c>
      <c r="R76" s="44">
        <f t="shared" ref="R76:R83" si="24">(P76*0.9 + Q76*SIN(ACOS(0.9))) / (120^2)</f>
        <v>5.8734773021664011E-5</v>
      </c>
      <c r="S76" s="45">
        <f t="shared" ref="S76:S83" si="25">(H76*R76)*100</f>
        <v>9.797547487743774E-2</v>
      </c>
      <c r="T76" s="46">
        <f>S76</f>
        <v>9.797547487743774E-2</v>
      </c>
      <c r="U76" s="89">
        <f t="shared" ref="U76:U83" si="26">P76/((120^2)*0.9)</f>
        <v>6.5972222222222216E-5</v>
      </c>
      <c r="V76" s="76"/>
      <c r="W76" s="29">
        <f t="shared" ref="W76:W83" si="27">(U76*H76)*100</f>
        <v>0.11004826388888889</v>
      </c>
      <c r="X76" s="78">
        <f t="shared" ref="X76:X83" si="28">(G76*0.9)</f>
        <v>2144.7000000000003</v>
      </c>
      <c r="Y76" s="79"/>
      <c r="Z76" s="7"/>
      <c r="AA76" s="26"/>
      <c r="AB76" s="28"/>
      <c r="AC76" s="1"/>
    </row>
    <row r="77" spans="1:29" ht="15.75" customHeight="1" thickTop="1" thickBot="1" x14ac:dyDescent="0.35">
      <c r="A77" s="2"/>
      <c r="B77" s="91"/>
      <c r="C77" s="62" t="s">
        <v>104</v>
      </c>
      <c r="D77" s="95">
        <v>2.7E-2</v>
      </c>
      <c r="E77" s="96"/>
      <c r="F77" s="97"/>
      <c r="G77" s="39">
        <v>2379</v>
      </c>
      <c r="H77" s="43">
        <f t="shared" si="21"/>
        <v>32.116500000000002</v>
      </c>
      <c r="I77" s="87">
        <f t="shared" si="22"/>
        <v>9.9124999999999996</v>
      </c>
      <c r="J77" s="76"/>
      <c r="K77" s="82">
        <f t="shared" si="23"/>
        <v>12.390625</v>
      </c>
      <c r="L77" s="88"/>
      <c r="M77" s="55">
        <v>1</v>
      </c>
      <c r="N77" s="37" t="s">
        <v>72</v>
      </c>
      <c r="O77" s="56" t="s">
        <v>73</v>
      </c>
      <c r="P77" s="36">
        <v>0.85499999999999998</v>
      </c>
      <c r="Q77" s="35">
        <v>0.17499999999999999</v>
      </c>
      <c r="R77" s="47">
        <f t="shared" si="24"/>
        <v>5.8734773021664011E-5</v>
      </c>
      <c r="S77" s="48">
        <f t="shared" si="25"/>
        <v>0.18863553377502723</v>
      </c>
      <c r="T77" s="49">
        <f>T76+S77</f>
        <v>0.28661100865246497</v>
      </c>
      <c r="U77" s="89">
        <f t="shared" si="26"/>
        <v>6.5972222222222216E-5</v>
      </c>
      <c r="V77" s="76"/>
      <c r="W77" s="29">
        <f t="shared" si="27"/>
        <v>0.2118796875</v>
      </c>
      <c r="X77" s="78">
        <f t="shared" si="28"/>
        <v>2141.1</v>
      </c>
      <c r="Y77" s="79"/>
      <c r="Z77" s="7"/>
      <c r="AA77" s="26"/>
      <c r="AB77" s="28"/>
      <c r="AC77" s="1"/>
    </row>
    <row r="78" spans="1:29" ht="15.75" customHeight="1" thickTop="1" thickBot="1" x14ac:dyDescent="0.35">
      <c r="A78" s="2"/>
      <c r="B78" s="91"/>
      <c r="C78" s="62" t="s">
        <v>105</v>
      </c>
      <c r="D78" s="95">
        <v>1.2999999999999999E-2</v>
      </c>
      <c r="E78" s="98"/>
      <c r="F78" s="99"/>
      <c r="G78" s="39">
        <v>23626</v>
      </c>
      <c r="H78" s="43">
        <f t="shared" si="21"/>
        <v>153.56899999999999</v>
      </c>
      <c r="I78" s="100">
        <f t="shared" si="22"/>
        <v>98.441666666666663</v>
      </c>
      <c r="J78" s="101"/>
      <c r="K78" s="82">
        <f t="shared" si="23"/>
        <v>123.05208333333333</v>
      </c>
      <c r="L78" s="102"/>
      <c r="M78" s="55">
        <v>1</v>
      </c>
      <c r="N78" s="37" t="s">
        <v>72</v>
      </c>
      <c r="O78" s="56" t="s">
        <v>73</v>
      </c>
      <c r="P78" s="36">
        <v>0.85499999999999998</v>
      </c>
      <c r="Q78" s="35">
        <v>0.17499999999999999</v>
      </c>
      <c r="R78" s="47">
        <f t="shared" si="24"/>
        <v>5.8734773021664011E-5</v>
      </c>
      <c r="S78" s="48">
        <f t="shared" si="25"/>
        <v>0.90198403581639197</v>
      </c>
      <c r="T78" s="49">
        <f>T77+S78</f>
        <v>1.1885950444688569</v>
      </c>
      <c r="U78" s="139">
        <f t="shared" si="26"/>
        <v>6.5972222222222216E-5</v>
      </c>
      <c r="V78" s="138"/>
      <c r="W78" s="29">
        <f t="shared" si="27"/>
        <v>1.0131288194444441</v>
      </c>
      <c r="X78" s="136">
        <f t="shared" si="28"/>
        <v>21263.4</v>
      </c>
      <c r="Y78" s="137"/>
      <c r="Z78" s="7"/>
      <c r="AA78" s="26"/>
      <c r="AB78" s="28"/>
      <c r="AC78" s="1"/>
    </row>
    <row r="79" spans="1:29" ht="15.75" customHeight="1" thickTop="1" thickBot="1" x14ac:dyDescent="0.35">
      <c r="A79" s="2"/>
      <c r="B79" s="91"/>
      <c r="C79" s="62" t="s">
        <v>76</v>
      </c>
      <c r="D79" s="95">
        <v>2.7E-2</v>
      </c>
      <c r="E79" s="96"/>
      <c r="F79" s="97"/>
      <c r="G79" s="39">
        <v>16880</v>
      </c>
      <c r="H79" s="43">
        <f t="shared" si="21"/>
        <v>227.88</v>
      </c>
      <c r="I79" s="87">
        <f t="shared" si="22"/>
        <v>70.333333333333329</v>
      </c>
      <c r="J79" s="76"/>
      <c r="K79" s="82">
        <f t="shared" si="23"/>
        <v>87.916666666666657</v>
      </c>
      <c r="L79" s="88"/>
      <c r="M79" s="55">
        <v>1</v>
      </c>
      <c r="N79" s="37" t="s">
        <v>72</v>
      </c>
      <c r="O79" s="56" t="s">
        <v>73</v>
      </c>
      <c r="P79" s="36">
        <v>0.85499999999999998</v>
      </c>
      <c r="Q79" s="35">
        <v>0.17499999999999999</v>
      </c>
      <c r="R79" s="47">
        <f t="shared" si="24"/>
        <v>5.8734773021664011E-5</v>
      </c>
      <c r="S79" s="48">
        <f t="shared" si="25"/>
        <v>1.3384480076176795</v>
      </c>
      <c r="T79" s="49">
        <f>T78+S79</f>
        <v>2.5270430520865363</v>
      </c>
      <c r="U79" s="89">
        <f t="shared" si="26"/>
        <v>6.5972222222222216E-5</v>
      </c>
      <c r="V79" s="76"/>
      <c r="W79" s="29">
        <f t="shared" si="27"/>
        <v>1.5033749999999999</v>
      </c>
      <c r="X79" s="78">
        <f t="shared" si="28"/>
        <v>15192</v>
      </c>
      <c r="Y79" s="79"/>
      <c r="Z79" s="7"/>
      <c r="AA79" s="26"/>
      <c r="AB79" s="28"/>
      <c r="AC79" s="1"/>
    </row>
    <row r="80" spans="1:29" ht="15.75" customHeight="1" thickTop="1" thickBot="1" x14ac:dyDescent="0.35">
      <c r="A80" s="2"/>
      <c r="B80" s="91"/>
      <c r="C80" s="62" t="s">
        <v>89</v>
      </c>
      <c r="D80" s="95">
        <v>8.0000000000000002E-3</v>
      </c>
      <c r="E80" s="96"/>
      <c r="F80" s="97"/>
      <c r="G80" s="39">
        <v>11102</v>
      </c>
      <c r="H80" s="43">
        <f t="shared" si="21"/>
        <v>44.408000000000001</v>
      </c>
      <c r="I80" s="87">
        <f t="shared" si="22"/>
        <v>46.258333333333333</v>
      </c>
      <c r="J80" s="76"/>
      <c r="K80" s="82">
        <f t="shared" si="23"/>
        <v>57.822916666666664</v>
      </c>
      <c r="L80" s="88"/>
      <c r="M80" s="55">
        <v>1</v>
      </c>
      <c r="N80" s="37" t="s">
        <v>72</v>
      </c>
      <c r="O80" s="56" t="s">
        <v>73</v>
      </c>
      <c r="P80" s="36">
        <v>0.85499999999999998</v>
      </c>
      <c r="Q80" s="35">
        <v>0.17499999999999999</v>
      </c>
      <c r="R80" s="47">
        <f t="shared" si="24"/>
        <v>5.8734773021664011E-5</v>
      </c>
      <c r="S80" s="48">
        <f t="shared" si="25"/>
        <v>0.26082938003460554</v>
      </c>
      <c r="T80" s="49">
        <f>S80</f>
        <v>0.26082938003460554</v>
      </c>
      <c r="U80" s="89">
        <f t="shared" si="26"/>
        <v>6.5972222222222216E-5</v>
      </c>
      <c r="V80" s="76"/>
      <c r="W80" s="29">
        <f t="shared" si="27"/>
        <v>0.29296944444444445</v>
      </c>
      <c r="X80" s="78">
        <f t="shared" si="28"/>
        <v>9991.8000000000011</v>
      </c>
      <c r="Y80" s="79"/>
      <c r="Z80" s="7"/>
      <c r="AA80" s="26"/>
      <c r="AB80" s="28"/>
      <c r="AC80" s="1"/>
    </row>
    <row r="81" spans="1:29" ht="15.75" customHeight="1" thickTop="1" thickBot="1" x14ac:dyDescent="0.35">
      <c r="A81" s="2"/>
      <c r="B81" s="91"/>
      <c r="C81" s="62" t="s">
        <v>78</v>
      </c>
      <c r="D81" s="95">
        <v>2.5000000000000001E-2</v>
      </c>
      <c r="E81" s="96"/>
      <c r="F81" s="97"/>
      <c r="G81" s="39">
        <v>5547</v>
      </c>
      <c r="H81" s="43">
        <f t="shared" si="21"/>
        <v>69.337500000000006</v>
      </c>
      <c r="I81" s="87">
        <f t="shared" si="22"/>
        <v>23.112500000000001</v>
      </c>
      <c r="J81" s="76"/>
      <c r="K81" s="82">
        <f t="shared" si="23"/>
        <v>28.890625</v>
      </c>
      <c r="L81" s="88"/>
      <c r="M81" s="55">
        <v>1</v>
      </c>
      <c r="N81" s="37" t="s">
        <v>72</v>
      </c>
      <c r="O81" s="56" t="s">
        <v>73</v>
      </c>
      <c r="P81" s="36">
        <v>0.85499999999999998</v>
      </c>
      <c r="Q81" s="35">
        <v>0.17499999999999999</v>
      </c>
      <c r="R81" s="47">
        <f t="shared" si="24"/>
        <v>5.8734773021664011E-5</v>
      </c>
      <c r="S81" s="48">
        <f t="shared" si="25"/>
        <v>0.4072522324389628</v>
      </c>
      <c r="T81" s="49">
        <f>T80+S81</f>
        <v>0.66808161247356834</v>
      </c>
      <c r="U81" s="89">
        <f t="shared" si="26"/>
        <v>6.5972222222222216E-5</v>
      </c>
      <c r="V81" s="76"/>
      <c r="W81" s="29">
        <f t="shared" si="27"/>
        <v>0.45743489583333335</v>
      </c>
      <c r="X81" s="78">
        <f t="shared" si="28"/>
        <v>4992.3</v>
      </c>
      <c r="Y81" s="79"/>
      <c r="Z81" s="7"/>
      <c r="AA81" s="26"/>
      <c r="AB81" s="28"/>
      <c r="AC81" s="1"/>
    </row>
    <row r="82" spans="1:29" ht="15.75" customHeight="1" thickTop="1" thickBot="1" x14ac:dyDescent="0.35">
      <c r="A82" s="2"/>
      <c r="B82" s="91"/>
      <c r="C82" s="62" t="s">
        <v>109</v>
      </c>
      <c r="D82" s="95">
        <v>2.7E-2</v>
      </c>
      <c r="E82" s="96"/>
      <c r="F82" s="97"/>
      <c r="G82" s="39">
        <v>6509</v>
      </c>
      <c r="H82" s="43">
        <f t="shared" si="21"/>
        <v>87.871499999999997</v>
      </c>
      <c r="I82" s="87">
        <f t="shared" si="22"/>
        <v>27.120833333333334</v>
      </c>
      <c r="J82" s="76"/>
      <c r="K82" s="82">
        <f t="shared" si="23"/>
        <v>33.901041666666664</v>
      </c>
      <c r="L82" s="88"/>
      <c r="M82" s="55">
        <v>1</v>
      </c>
      <c r="N82" s="37" t="s">
        <v>72</v>
      </c>
      <c r="O82" s="56" t="s">
        <v>73</v>
      </c>
      <c r="P82" s="36">
        <v>0.85499999999999998</v>
      </c>
      <c r="Q82" s="35">
        <v>0.17499999999999999</v>
      </c>
      <c r="R82" s="47">
        <f t="shared" si="24"/>
        <v>5.8734773021664011E-5</v>
      </c>
      <c r="S82" s="48">
        <f t="shared" si="25"/>
        <v>0.51611126075731484</v>
      </c>
      <c r="T82" s="49">
        <f>T81+S82</f>
        <v>1.1841928732308831</v>
      </c>
      <c r="U82" s="89">
        <f t="shared" si="26"/>
        <v>6.5972222222222216E-5</v>
      </c>
      <c r="V82" s="76"/>
      <c r="W82" s="29">
        <f t="shared" si="27"/>
        <v>0.57970781249999992</v>
      </c>
      <c r="X82" s="78">
        <f t="shared" si="28"/>
        <v>5858.1</v>
      </c>
      <c r="Y82" s="79"/>
      <c r="Z82" s="7"/>
      <c r="AA82" s="26"/>
      <c r="AB82" s="28"/>
      <c r="AC82" s="1"/>
    </row>
    <row r="83" spans="1:29" ht="15.75" customHeight="1" thickTop="1" thickBot="1" x14ac:dyDescent="0.35">
      <c r="A83" s="2"/>
      <c r="B83" s="91"/>
      <c r="C83" s="62" t="s">
        <v>80</v>
      </c>
      <c r="D83" s="95">
        <v>1.9E-2</v>
      </c>
      <c r="E83" s="96"/>
      <c r="F83" s="97"/>
      <c r="G83" s="39">
        <v>4091</v>
      </c>
      <c r="H83" s="43">
        <f t="shared" si="21"/>
        <v>38.8645</v>
      </c>
      <c r="I83" s="87">
        <f t="shared" si="22"/>
        <v>17.045833333333334</v>
      </c>
      <c r="J83" s="76"/>
      <c r="K83" s="82">
        <f t="shared" si="23"/>
        <v>21.307291666666668</v>
      </c>
      <c r="L83" s="88"/>
      <c r="M83" s="55">
        <v>1</v>
      </c>
      <c r="N83" s="37" t="s">
        <v>72</v>
      </c>
      <c r="O83" s="56" t="s">
        <v>73</v>
      </c>
      <c r="P83" s="36">
        <v>0.85499999999999998</v>
      </c>
      <c r="Q83" s="35">
        <v>0.17499999999999999</v>
      </c>
      <c r="R83" s="47">
        <f t="shared" si="24"/>
        <v>5.8734773021664011E-5</v>
      </c>
      <c r="S83" s="48">
        <f t="shared" si="25"/>
        <v>0.22826975861004609</v>
      </c>
      <c r="T83" s="49">
        <f>S83</f>
        <v>0.22826975861004609</v>
      </c>
      <c r="U83" s="89">
        <f t="shared" si="26"/>
        <v>6.5972222222222216E-5</v>
      </c>
      <c r="V83" s="76"/>
      <c r="W83" s="29">
        <f t="shared" si="27"/>
        <v>0.25639774305555557</v>
      </c>
      <c r="X83" s="78">
        <f t="shared" si="28"/>
        <v>3681.9</v>
      </c>
      <c r="Y83" s="79"/>
      <c r="Z83" s="7"/>
      <c r="AA83" s="26"/>
      <c r="AB83" s="28"/>
      <c r="AC83" s="1"/>
    </row>
    <row r="84" spans="1:29" ht="15.75" customHeight="1" thickTop="1" thickBot="1" x14ac:dyDescent="0.35">
      <c r="A84" s="2"/>
      <c r="B84" s="90" t="s">
        <v>110</v>
      </c>
      <c r="C84" s="61" t="s">
        <v>71</v>
      </c>
      <c r="D84" s="92">
        <v>8.9999999999999993E-3</v>
      </c>
      <c r="E84" s="93"/>
      <c r="F84" s="94"/>
      <c r="G84" s="68">
        <v>3272</v>
      </c>
      <c r="H84" s="42">
        <f t="shared" ref="H84:H93" si="29">(G84/2)*D84</f>
        <v>14.723999999999998</v>
      </c>
      <c r="I84" s="87">
        <f t="shared" ref="I84:I93" si="30">(G84/240)</f>
        <v>13.633333333333333</v>
      </c>
      <c r="J84" s="76"/>
      <c r="K84" s="82">
        <f t="shared" ref="K84:K93" si="31">(I84*1.25)</f>
        <v>17.041666666666664</v>
      </c>
      <c r="L84" s="88"/>
      <c r="M84" s="52">
        <v>1</v>
      </c>
      <c r="N84" s="53" t="s">
        <v>72</v>
      </c>
      <c r="O84" s="54" t="s">
        <v>73</v>
      </c>
      <c r="P84" s="36">
        <v>0.85499999999999998</v>
      </c>
      <c r="Q84" s="35">
        <v>0.17499999999999999</v>
      </c>
      <c r="R84" s="44">
        <f t="shared" ref="R84:R93" si="32">(P84*0.9 + Q84*SIN(ACOS(0.9))) / (120^2)</f>
        <v>5.8734773021664011E-5</v>
      </c>
      <c r="S84" s="45">
        <f t="shared" ref="S84:S93" si="33">(H84*R84)*100</f>
        <v>8.6481079797098084E-2</v>
      </c>
      <c r="T84" s="46">
        <f>S84</f>
        <v>8.6481079797098084E-2</v>
      </c>
      <c r="U84" s="89">
        <f t="shared" ref="U84:U93" si="34">P84/((120^2)*0.9)</f>
        <v>6.5972222222222216E-5</v>
      </c>
      <c r="V84" s="76"/>
      <c r="W84" s="29">
        <f t="shared" ref="W84:W93" si="35">(U84*H84)*100</f>
        <v>9.7137499999999974E-2</v>
      </c>
      <c r="X84" s="78">
        <f t="shared" ref="X84:X93" si="36">(G84*0.9)</f>
        <v>2944.8</v>
      </c>
      <c r="Y84" s="79"/>
      <c r="Z84" s="7"/>
      <c r="AA84" s="26"/>
      <c r="AB84" s="28"/>
      <c r="AC84" s="1"/>
    </row>
    <row r="85" spans="1:29" ht="15.75" customHeight="1" thickTop="1" thickBot="1" x14ac:dyDescent="0.35">
      <c r="A85" s="2"/>
      <c r="B85" s="91"/>
      <c r="C85" s="62" t="s">
        <v>104</v>
      </c>
      <c r="D85" s="95">
        <v>1.7000000000000001E-2</v>
      </c>
      <c r="E85" s="96"/>
      <c r="F85" s="97"/>
      <c r="G85" s="39">
        <v>11176</v>
      </c>
      <c r="H85" s="43">
        <f t="shared" si="29"/>
        <v>94.996000000000009</v>
      </c>
      <c r="I85" s="87">
        <f t="shared" si="30"/>
        <v>46.56666666666667</v>
      </c>
      <c r="J85" s="76"/>
      <c r="K85" s="82">
        <f t="shared" si="31"/>
        <v>58.208333333333336</v>
      </c>
      <c r="L85" s="88"/>
      <c r="M85" s="55">
        <v>1</v>
      </c>
      <c r="N85" s="37" t="s">
        <v>72</v>
      </c>
      <c r="O85" s="56" t="s">
        <v>73</v>
      </c>
      <c r="P85" s="36">
        <v>0.85499999999999998</v>
      </c>
      <c r="Q85" s="35">
        <v>0.17499999999999999</v>
      </c>
      <c r="R85" s="47">
        <f t="shared" si="32"/>
        <v>5.8734773021664011E-5</v>
      </c>
      <c r="S85" s="48">
        <f t="shared" si="33"/>
        <v>0.55795684979659943</v>
      </c>
      <c r="T85" s="49">
        <f>T84+S85</f>
        <v>0.6444379295936975</v>
      </c>
      <c r="U85" s="89">
        <f t="shared" si="34"/>
        <v>6.5972222222222216E-5</v>
      </c>
      <c r="V85" s="76"/>
      <c r="W85" s="29">
        <f t="shared" si="35"/>
        <v>0.62670972222222221</v>
      </c>
      <c r="X85" s="78">
        <f t="shared" si="36"/>
        <v>10058.4</v>
      </c>
      <c r="Y85" s="79"/>
      <c r="Z85" s="7"/>
      <c r="AA85" s="26"/>
      <c r="AB85" s="28"/>
      <c r="AC85" s="1"/>
    </row>
    <row r="86" spans="1:29" ht="15.75" customHeight="1" thickTop="1" thickBot="1" x14ac:dyDescent="0.35">
      <c r="A86" s="2"/>
      <c r="B86" s="91"/>
      <c r="C86" s="62" t="s">
        <v>75</v>
      </c>
      <c r="D86" s="95">
        <v>0.02</v>
      </c>
      <c r="E86" s="96"/>
      <c r="F86" s="97"/>
      <c r="G86" s="39">
        <v>6255</v>
      </c>
      <c r="H86" s="43">
        <f t="shared" si="29"/>
        <v>62.550000000000004</v>
      </c>
      <c r="I86" s="87">
        <f t="shared" si="30"/>
        <v>26.0625</v>
      </c>
      <c r="J86" s="76"/>
      <c r="K86" s="82">
        <f t="shared" si="31"/>
        <v>32.578125</v>
      </c>
      <c r="L86" s="88"/>
      <c r="M86" s="55">
        <v>1</v>
      </c>
      <c r="N86" s="37" t="s">
        <v>72</v>
      </c>
      <c r="O86" s="56" t="s">
        <v>73</v>
      </c>
      <c r="P86" s="36">
        <v>0.85499999999999998</v>
      </c>
      <c r="Q86" s="35">
        <v>0.17499999999999999</v>
      </c>
      <c r="R86" s="47">
        <f t="shared" si="32"/>
        <v>5.8734773021664011E-5</v>
      </c>
      <c r="S86" s="48">
        <f t="shared" si="33"/>
        <v>0.36738600525050841</v>
      </c>
      <c r="T86" s="49">
        <f>T85+S86</f>
        <v>1.011823934844206</v>
      </c>
      <c r="U86" s="89">
        <f t="shared" si="34"/>
        <v>6.5972222222222216E-5</v>
      </c>
      <c r="V86" s="76"/>
      <c r="W86" s="29">
        <f t="shared" si="35"/>
        <v>0.41265625</v>
      </c>
      <c r="X86" s="78">
        <f t="shared" si="36"/>
        <v>5629.5</v>
      </c>
      <c r="Y86" s="79"/>
      <c r="Z86" s="7"/>
      <c r="AA86" s="26"/>
      <c r="AB86" s="28"/>
      <c r="AC86" s="1"/>
    </row>
    <row r="87" spans="1:29" ht="15.75" customHeight="1" thickTop="1" thickBot="1" x14ac:dyDescent="0.35">
      <c r="A87" s="2"/>
      <c r="B87" s="91"/>
      <c r="C87" s="62" t="s">
        <v>94</v>
      </c>
      <c r="D87" s="95">
        <v>2.5999999999999999E-2</v>
      </c>
      <c r="E87" s="96"/>
      <c r="F87" s="97"/>
      <c r="G87" s="39">
        <v>9565</v>
      </c>
      <c r="H87" s="43">
        <f t="shared" si="29"/>
        <v>124.345</v>
      </c>
      <c r="I87" s="87">
        <f t="shared" si="30"/>
        <v>39.854166666666664</v>
      </c>
      <c r="J87" s="76"/>
      <c r="K87" s="82">
        <f t="shared" si="31"/>
        <v>49.817708333333329</v>
      </c>
      <c r="L87" s="88"/>
      <c r="M87" s="55">
        <v>1</v>
      </c>
      <c r="N87" s="37" t="s">
        <v>72</v>
      </c>
      <c r="O87" s="56" t="s">
        <v>73</v>
      </c>
      <c r="P87" s="36">
        <v>0.85499999999999998</v>
      </c>
      <c r="Q87" s="35">
        <v>0.17499999999999999</v>
      </c>
      <c r="R87" s="47">
        <f t="shared" si="32"/>
        <v>5.8734773021664011E-5</v>
      </c>
      <c r="S87" s="48">
        <f t="shared" si="33"/>
        <v>0.73033753513788113</v>
      </c>
      <c r="T87" s="49">
        <f>T86+S87</f>
        <v>1.7421614699820871</v>
      </c>
      <c r="U87" s="89">
        <f t="shared" si="34"/>
        <v>6.5972222222222216E-5</v>
      </c>
      <c r="V87" s="76"/>
      <c r="W87" s="29">
        <f t="shared" si="35"/>
        <v>0.82033159722222226</v>
      </c>
      <c r="X87" s="78">
        <f t="shared" si="36"/>
        <v>8608.5</v>
      </c>
      <c r="Y87" s="79"/>
      <c r="Z87" s="7"/>
      <c r="AA87" s="26"/>
      <c r="AB87" s="28"/>
      <c r="AC87" s="1"/>
    </row>
    <row r="88" spans="1:29" ht="15.75" customHeight="1" thickTop="1" thickBot="1" x14ac:dyDescent="0.35">
      <c r="A88" s="2"/>
      <c r="B88" s="91"/>
      <c r="C88" s="62" t="s">
        <v>89</v>
      </c>
      <c r="D88" s="95">
        <v>0.01</v>
      </c>
      <c r="E88" s="96"/>
      <c r="F88" s="97"/>
      <c r="G88" s="39">
        <v>6219</v>
      </c>
      <c r="H88" s="43">
        <f t="shared" si="29"/>
        <v>31.095000000000002</v>
      </c>
      <c r="I88" s="87">
        <f t="shared" si="30"/>
        <v>25.912500000000001</v>
      </c>
      <c r="J88" s="76"/>
      <c r="K88" s="82">
        <f t="shared" si="31"/>
        <v>32.390625</v>
      </c>
      <c r="L88" s="88"/>
      <c r="M88" s="55">
        <v>1</v>
      </c>
      <c r="N88" s="37" t="s">
        <v>72</v>
      </c>
      <c r="O88" s="56" t="s">
        <v>73</v>
      </c>
      <c r="P88" s="36">
        <v>0.85499999999999998</v>
      </c>
      <c r="Q88" s="35">
        <v>0.17499999999999999</v>
      </c>
      <c r="R88" s="47">
        <f t="shared" si="32"/>
        <v>5.8734773021664011E-5</v>
      </c>
      <c r="S88" s="48">
        <f t="shared" si="33"/>
        <v>0.18263577671086426</v>
      </c>
      <c r="T88" s="49">
        <f>S88</f>
        <v>0.18263577671086426</v>
      </c>
      <c r="U88" s="89">
        <f t="shared" si="34"/>
        <v>6.5972222222222216E-5</v>
      </c>
      <c r="V88" s="76"/>
      <c r="W88" s="29">
        <f t="shared" si="35"/>
        <v>0.20514062499999999</v>
      </c>
      <c r="X88" s="78">
        <f t="shared" si="36"/>
        <v>5597.1</v>
      </c>
      <c r="Y88" s="79"/>
      <c r="Z88" s="7"/>
      <c r="AA88" s="26"/>
      <c r="AB88" s="28"/>
      <c r="AC88" s="1"/>
    </row>
    <row r="89" spans="1:29" ht="15.75" customHeight="1" thickTop="1" thickBot="1" x14ac:dyDescent="0.35">
      <c r="A89" s="2"/>
      <c r="B89" s="91"/>
      <c r="C89" s="62" t="s">
        <v>78</v>
      </c>
      <c r="D89" s="95">
        <v>6.0000000000000001E-3</v>
      </c>
      <c r="E89" s="96"/>
      <c r="F89" s="97"/>
      <c r="G89" s="39">
        <v>4856</v>
      </c>
      <c r="H89" s="43">
        <f t="shared" si="29"/>
        <v>14.568</v>
      </c>
      <c r="I89" s="87">
        <f t="shared" si="30"/>
        <v>20.233333333333334</v>
      </c>
      <c r="J89" s="76"/>
      <c r="K89" s="82">
        <f t="shared" si="31"/>
        <v>25.291666666666668</v>
      </c>
      <c r="L89" s="88"/>
      <c r="M89" s="55">
        <v>1</v>
      </c>
      <c r="N89" s="37" t="s">
        <v>72</v>
      </c>
      <c r="O89" s="56" t="s">
        <v>73</v>
      </c>
      <c r="P89" s="36">
        <v>0.85499999999999998</v>
      </c>
      <c r="Q89" s="35">
        <v>0.17499999999999999</v>
      </c>
      <c r="R89" s="47">
        <f t="shared" si="32"/>
        <v>5.8734773021664011E-5</v>
      </c>
      <c r="S89" s="48">
        <f t="shared" si="33"/>
        <v>8.5564817337960133E-2</v>
      </c>
      <c r="T89" s="49">
        <f>T88+S89</f>
        <v>0.2682005940488244</v>
      </c>
      <c r="U89" s="89">
        <f t="shared" si="34"/>
        <v>6.5972222222222216E-5</v>
      </c>
      <c r="V89" s="76"/>
      <c r="W89" s="29">
        <f t="shared" si="35"/>
        <v>9.6108333333333323E-2</v>
      </c>
      <c r="X89" s="78">
        <f t="shared" si="36"/>
        <v>4370.4000000000005</v>
      </c>
      <c r="Y89" s="79"/>
      <c r="Z89" s="7"/>
      <c r="AA89" s="26"/>
      <c r="AB89" s="28"/>
      <c r="AC89" s="1"/>
    </row>
    <row r="90" spans="1:29" ht="15.75" customHeight="1" thickTop="1" thickBot="1" x14ac:dyDescent="0.35">
      <c r="A90" s="2"/>
      <c r="B90" s="91"/>
      <c r="C90" s="62" t="s">
        <v>79</v>
      </c>
      <c r="D90" s="95">
        <v>1.6E-2</v>
      </c>
      <c r="E90" s="96"/>
      <c r="F90" s="97"/>
      <c r="G90" s="39">
        <v>18153</v>
      </c>
      <c r="H90" s="43">
        <f t="shared" si="29"/>
        <v>145.22399999999999</v>
      </c>
      <c r="I90" s="87">
        <f t="shared" si="30"/>
        <v>75.637500000000003</v>
      </c>
      <c r="J90" s="76"/>
      <c r="K90" s="82">
        <f t="shared" si="31"/>
        <v>94.546875</v>
      </c>
      <c r="L90" s="88"/>
      <c r="M90" s="55">
        <v>1</v>
      </c>
      <c r="N90" s="37" t="s">
        <v>72</v>
      </c>
      <c r="O90" s="56" t="s">
        <v>73</v>
      </c>
      <c r="P90" s="36">
        <v>0.85499999999999998</v>
      </c>
      <c r="Q90" s="35">
        <v>0.17499999999999999</v>
      </c>
      <c r="R90" s="47">
        <f t="shared" si="32"/>
        <v>5.8734773021664011E-5</v>
      </c>
      <c r="S90" s="48">
        <f t="shared" si="33"/>
        <v>0.85296986772981331</v>
      </c>
      <c r="T90" s="49">
        <f>T89+S90</f>
        <v>1.1211704617786378</v>
      </c>
      <c r="U90" s="89">
        <f t="shared" si="34"/>
        <v>6.5972222222222216E-5</v>
      </c>
      <c r="V90" s="76"/>
      <c r="W90" s="29">
        <f t="shared" si="35"/>
        <v>0.9580749999999999</v>
      </c>
      <c r="X90" s="78">
        <f t="shared" si="36"/>
        <v>16337.7</v>
      </c>
      <c r="Y90" s="79"/>
      <c r="Z90" s="7"/>
      <c r="AA90" s="26"/>
      <c r="AB90" s="28"/>
      <c r="AC90" s="1"/>
    </row>
    <row r="91" spans="1:29" ht="15.75" customHeight="1" thickTop="1" thickBot="1" x14ac:dyDescent="0.35">
      <c r="A91" s="2"/>
      <c r="B91" s="91"/>
      <c r="C91" s="62" t="s">
        <v>80</v>
      </c>
      <c r="D91" s="95">
        <v>1.2E-2</v>
      </c>
      <c r="E91" s="96"/>
      <c r="F91" s="97"/>
      <c r="G91" s="39">
        <v>13133</v>
      </c>
      <c r="H91" s="43">
        <f t="shared" si="29"/>
        <v>78.798000000000002</v>
      </c>
      <c r="I91" s="87">
        <f t="shared" si="30"/>
        <v>54.720833333333331</v>
      </c>
      <c r="J91" s="76"/>
      <c r="K91" s="82">
        <f t="shared" si="31"/>
        <v>68.401041666666657</v>
      </c>
      <c r="L91" s="88"/>
      <c r="M91" s="55">
        <v>1</v>
      </c>
      <c r="N91" s="37" t="s">
        <v>72</v>
      </c>
      <c r="O91" s="56" t="s">
        <v>73</v>
      </c>
      <c r="P91" s="36">
        <v>0.85499999999999998</v>
      </c>
      <c r="Q91" s="35">
        <v>0.17499999999999999</v>
      </c>
      <c r="R91" s="47">
        <f t="shared" si="32"/>
        <v>5.8734773021664011E-5</v>
      </c>
      <c r="S91" s="48">
        <f t="shared" si="33"/>
        <v>0.46281826445610807</v>
      </c>
      <c r="T91" s="49">
        <f>S91</f>
        <v>0.46281826445610807</v>
      </c>
      <c r="U91" s="89">
        <f t="shared" si="34"/>
        <v>6.5972222222222216E-5</v>
      </c>
      <c r="V91" s="76"/>
      <c r="W91" s="29">
        <f t="shared" si="35"/>
        <v>0.51984791666666663</v>
      </c>
      <c r="X91" s="78">
        <f t="shared" si="36"/>
        <v>11819.7</v>
      </c>
      <c r="Y91" s="79"/>
      <c r="Z91" s="7"/>
      <c r="AA91" s="26"/>
      <c r="AB91" s="28"/>
      <c r="AC91" s="1"/>
    </row>
    <row r="92" spans="1:29" ht="15.75" customHeight="1" thickTop="1" thickBot="1" x14ac:dyDescent="0.35">
      <c r="A92" s="2"/>
      <c r="B92" s="91"/>
      <c r="C92" s="62" t="s">
        <v>81</v>
      </c>
      <c r="D92" s="95">
        <v>3.5999999999999997E-2</v>
      </c>
      <c r="E92" s="96"/>
      <c r="F92" s="97"/>
      <c r="G92" s="39">
        <v>8213</v>
      </c>
      <c r="H92" s="43">
        <f t="shared" si="29"/>
        <v>147.83399999999997</v>
      </c>
      <c r="I92" s="87">
        <f t="shared" si="30"/>
        <v>34.220833333333331</v>
      </c>
      <c r="J92" s="76"/>
      <c r="K92" s="82">
        <f t="shared" si="31"/>
        <v>42.776041666666664</v>
      </c>
      <c r="L92" s="88"/>
      <c r="M92" s="55">
        <v>1</v>
      </c>
      <c r="N92" s="37" t="s">
        <v>72</v>
      </c>
      <c r="O92" s="56" t="s">
        <v>73</v>
      </c>
      <c r="P92" s="36">
        <v>0.85499999999999998</v>
      </c>
      <c r="Q92" s="35">
        <v>0.17499999999999999</v>
      </c>
      <c r="R92" s="47">
        <f t="shared" si="32"/>
        <v>5.8734773021664011E-5</v>
      </c>
      <c r="S92" s="48">
        <f t="shared" si="33"/>
        <v>0.86829964348846755</v>
      </c>
      <c r="T92" s="49">
        <f>T91+S92</f>
        <v>1.3311179079445756</v>
      </c>
      <c r="U92" s="89">
        <f t="shared" si="34"/>
        <v>6.5972222222222216E-5</v>
      </c>
      <c r="V92" s="76"/>
      <c r="W92" s="29">
        <f t="shared" si="35"/>
        <v>0.97529374999999974</v>
      </c>
      <c r="X92" s="78">
        <f t="shared" si="36"/>
        <v>7391.7</v>
      </c>
      <c r="Y92" s="79"/>
      <c r="Z92" s="7"/>
      <c r="AA92" s="26"/>
      <c r="AB92" s="28"/>
      <c r="AC92" s="1"/>
    </row>
    <row r="93" spans="1:29" ht="16.5" customHeight="1" thickTop="1" thickBot="1" x14ac:dyDescent="0.35">
      <c r="A93" s="1"/>
      <c r="B93" s="91"/>
      <c r="C93" s="62" t="s">
        <v>86</v>
      </c>
      <c r="D93" s="95">
        <v>2.5000000000000001E-2</v>
      </c>
      <c r="E93" s="96"/>
      <c r="F93" s="97"/>
      <c r="G93" s="39">
        <v>3279</v>
      </c>
      <c r="H93" s="43">
        <f t="shared" si="29"/>
        <v>40.987500000000004</v>
      </c>
      <c r="I93" s="87">
        <f t="shared" si="30"/>
        <v>13.6625</v>
      </c>
      <c r="J93" s="76"/>
      <c r="K93" s="82">
        <f t="shared" si="31"/>
        <v>17.078125</v>
      </c>
      <c r="L93" s="88"/>
      <c r="M93" s="55">
        <v>1</v>
      </c>
      <c r="N93" s="37" t="s">
        <v>72</v>
      </c>
      <c r="O93" s="56" t="s">
        <v>73</v>
      </c>
      <c r="P93" s="36">
        <v>0.85499999999999998</v>
      </c>
      <c r="Q93" s="35">
        <v>0.17499999999999999</v>
      </c>
      <c r="R93" s="47">
        <f t="shared" si="32"/>
        <v>5.8734773021664011E-5</v>
      </c>
      <c r="S93" s="48">
        <f t="shared" si="33"/>
        <v>0.24073915092254539</v>
      </c>
      <c r="T93" s="49">
        <f>T92+S93</f>
        <v>1.571857058867121</v>
      </c>
      <c r="U93" s="89">
        <f t="shared" si="34"/>
        <v>6.5972222222222216E-5</v>
      </c>
      <c r="V93" s="76"/>
      <c r="W93" s="29">
        <f t="shared" si="35"/>
        <v>0.27040364583333337</v>
      </c>
      <c r="X93" s="78">
        <f t="shared" si="36"/>
        <v>2951.1</v>
      </c>
      <c r="Y93" s="79"/>
      <c r="Z93" s="7"/>
      <c r="AA93" s="26"/>
      <c r="AB93" s="26"/>
      <c r="AC93" s="1"/>
    </row>
    <row r="94" spans="1:29" ht="15.75" customHeight="1" thickTop="1" thickBot="1" x14ac:dyDescent="0.35">
      <c r="A94" s="2"/>
      <c r="B94" s="90" t="s">
        <v>111</v>
      </c>
      <c r="C94" s="61" t="s">
        <v>71</v>
      </c>
      <c r="D94" s="92">
        <v>1.6E-2</v>
      </c>
      <c r="E94" s="93"/>
      <c r="F94" s="94"/>
      <c r="G94" s="68">
        <v>4085</v>
      </c>
      <c r="H94" s="42">
        <f t="shared" ref="H94:H99" si="37">(G94/2)*D94</f>
        <v>32.68</v>
      </c>
      <c r="I94" s="87">
        <f t="shared" ref="I94:I99" si="38">(G94/240)</f>
        <v>17.020833333333332</v>
      </c>
      <c r="J94" s="76"/>
      <c r="K94" s="82">
        <f t="shared" ref="K94:K99" si="39">(I94*1.25)</f>
        <v>21.276041666666664</v>
      </c>
      <c r="L94" s="88"/>
      <c r="M94" s="52">
        <v>1</v>
      </c>
      <c r="N94" s="53" t="s">
        <v>72</v>
      </c>
      <c r="O94" s="54" t="s">
        <v>73</v>
      </c>
      <c r="P94" s="36">
        <v>0.85499999999999998</v>
      </c>
      <c r="Q94" s="35">
        <v>0.17499999999999999</v>
      </c>
      <c r="R94" s="44">
        <f t="shared" ref="R94:R99" si="40">(P94*0.9 + Q94*SIN(ACOS(0.9))) / (120^2)</f>
        <v>5.8734773021664011E-5</v>
      </c>
      <c r="S94" s="45">
        <f t="shared" ref="S94:S99" si="41">(H94*R94)*100</f>
        <v>0.19194523823479798</v>
      </c>
      <c r="T94" s="46">
        <f>S94</f>
        <v>0.19194523823479798</v>
      </c>
      <c r="U94" s="89">
        <f t="shared" ref="U94:U99" si="42">P94/((120^2)*0.9)</f>
        <v>6.5972222222222216E-5</v>
      </c>
      <c r="V94" s="76"/>
      <c r="W94" s="29">
        <f t="shared" ref="W94:W99" si="43">(U94*H94)*100</f>
        <v>0.21559722222222219</v>
      </c>
      <c r="X94" s="78">
        <f t="shared" ref="X94:X99" si="44">(G94*0.9)</f>
        <v>3676.5</v>
      </c>
      <c r="Y94" s="79"/>
      <c r="Z94" s="7"/>
      <c r="AA94" s="26"/>
      <c r="AB94" s="28"/>
      <c r="AC94" s="1"/>
    </row>
    <row r="95" spans="1:29" ht="15.75" customHeight="1" thickTop="1" thickBot="1" x14ac:dyDescent="0.35">
      <c r="A95" s="2"/>
      <c r="B95" s="91"/>
      <c r="C95" s="62" t="s">
        <v>104</v>
      </c>
      <c r="D95" s="95">
        <v>3.1E-2</v>
      </c>
      <c r="E95" s="96"/>
      <c r="F95" s="97"/>
      <c r="G95" s="39">
        <v>15874</v>
      </c>
      <c r="H95" s="43">
        <f t="shared" si="37"/>
        <v>246.047</v>
      </c>
      <c r="I95" s="87">
        <f t="shared" si="38"/>
        <v>66.141666666666666</v>
      </c>
      <c r="J95" s="76"/>
      <c r="K95" s="82">
        <f t="shared" si="39"/>
        <v>82.677083333333329</v>
      </c>
      <c r="L95" s="88"/>
      <c r="M95" s="55">
        <v>1</v>
      </c>
      <c r="N95" s="37" t="s">
        <v>72</v>
      </c>
      <c r="O95" s="56" t="s">
        <v>73</v>
      </c>
      <c r="P95" s="36">
        <v>0.85499999999999998</v>
      </c>
      <c r="Q95" s="35">
        <v>0.17499999999999999</v>
      </c>
      <c r="R95" s="47">
        <f t="shared" si="40"/>
        <v>5.8734773021664011E-5</v>
      </c>
      <c r="S95" s="48">
        <f t="shared" si="41"/>
        <v>1.4451514697661365</v>
      </c>
      <c r="T95" s="49">
        <f>T94+S95</f>
        <v>1.6370967080009344</v>
      </c>
      <c r="U95" s="89">
        <f t="shared" si="42"/>
        <v>6.5972222222222216E-5</v>
      </c>
      <c r="V95" s="76"/>
      <c r="W95" s="29">
        <f t="shared" si="43"/>
        <v>1.6232267361111108</v>
      </c>
      <c r="X95" s="78">
        <f t="shared" si="44"/>
        <v>14286.6</v>
      </c>
      <c r="Y95" s="79"/>
      <c r="Z95" s="7"/>
      <c r="AA95" s="26"/>
      <c r="AB95" s="28"/>
      <c r="AC95" s="1"/>
    </row>
    <row r="96" spans="1:29" ht="15.75" customHeight="1" thickTop="1" thickBot="1" x14ac:dyDescent="0.35">
      <c r="A96" s="2"/>
      <c r="B96" s="91"/>
      <c r="C96" s="62" t="s">
        <v>75</v>
      </c>
      <c r="D96" s="95">
        <v>1.2999999999999999E-2</v>
      </c>
      <c r="E96" s="96"/>
      <c r="F96" s="97"/>
      <c r="G96" s="39">
        <v>12347</v>
      </c>
      <c r="H96" s="43">
        <f t="shared" si="37"/>
        <v>80.255499999999998</v>
      </c>
      <c r="I96" s="87">
        <f t="shared" si="38"/>
        <v>51.445833333333333</v>
      </c>
      <c r="J96" s="76"/>
      <c r="K96" s="82">
        <f t="shared" si="39"/>
        <v>64.307291666666671</v>
      </c>
      <c r="L96" s="88"/>
      <c r="M96" s="55">
        <v>1</v>
      </c>
      <c r="N96" s="37" t="s">
        <v>72</v>
      </c>
      <c r="O96" s="56" t="s">
        <v>73</v>
      </c>
      <c r="P96" s="36">
        <v>0.85499999999999998</v>
      </c>
      <c r="Q96" s="35">
        <v>0.17499999999999999</v>
      </c>
      <c r="R96" s="47">
        <f t="shared" si="40"/>
        <v>5.8734773021664011E-5</v>
      </c>
      <c r="S96" s="48">
        <f t="shared" si="41"/>
        <v>0.47137885762401566</v>
      </c>
      <c r="T96" s="49">
        <f>T95+S96</f>
        <v>2.1084755656249499</v>
      </c>
      <c r="U96" s="89">
        <f t="shared" si="42"/>
        <v>6.5972222222222216E-5</v>
      </c>
      <c r="V96" s="76"/>
      <c r="W96" s="29">
        <f t="shared" si="43"/>
        <v>0.52946336805555549</v>
      </c>
      <c r="X96" s="78">
        <f t="shared" si="44"/>
        <v>11112.300000000001</v>
      </c>
      <c r="Y96" s="79"/>
      <c r="Z96" s="7"/>
      <c r="AA96" s="26"/>
      <c r="AB96" s="28"/>
      <c r="AC96" s="1"/>
    </row>
    <row r="97" spans="1:29" ht="15.75" customHeight="1" thickTop="1" thickBot="1" x14ac:dyDescent="0.35">
      <c r="A97" s="2"/>
      <c r="B97" s="91"/>
      <c r="C97" s="62" t="s">
        <v>112</v>
      </c>
      <c r="D97" s="95">
        <v>2.5000000000000001E-2</v>
      </c>
      <c r="E97" s="96"/>
      <c r="F97" s="97"/>
      <c r="G97" s="39">
        <v>9006</v>
      </c>
      <c r="H97" s="43">
        <f t="shared" si="37"/>
        <v>112.575</v>
      </c>
      <c r="I97" s="87">
        <f t="shared" si="38"/>
        <v>37.524999999999999</v>
      </c>
      <c r="J97" s="76"/>
      <c r="K97" s="82">
        <f t="shared" si="39"/>
        <v>46.90625</v>
      </c>
      <c r="L97" s="88"/>
      <c r="M97" s="55">
        <v>1</v>
      </c>
      <c r="N97" s="37" t="s">
        <v>72</v>
      </c>
      <c r="O97" s="56" t="s">
        <v>73</v>
      </c>
      <c r="P97" s="36">
        <v>0.85499999999999998</v>
      </c>
      <c r="Q97" s="35">
        <v>0.17499999999999999</v>
      </c>
      <c r="R97" s="47">
        <f t="shared" si="40"/>
        <v>5.8734773021664011E-5</v>
      </c>
      <c r="S97" s="48">
        <f t="shared" si="41"/>
        <v>0.66120670729138264</v>
      </c>
      <c r="T97" s="49">
        <f>T96+S97</f>
        <v>2.7696822729163326</v>
      </c>
      <c r="U97" s="89">
        <f t="shared" si="42"/>
        <v>6.5972222222222216E-5</v>
      </c>
      <c r="V97" s="76"/>
      <c r="W97" s="29">
        <f t="shared" si="43"/>
        <v>0.74268229166666655</v>
      </c>
      <c r="X97" s="78">
        <f t="shared" si="44"/>
        <v>8105.4000000000005</v>
      </c>
      <c r="Y97" s="79"/>
      <c r="Z97" s="7"/>
      <c r="AA97" s="26"/>
      <c r="AB97" s="28"/>
      <c r="AC97" s="1"/>
    </row>
    <row r="98" spans="1:29" ht="15.75" customHeight="1" thickTop="1" thickBot="1" x14ac:dyDescent="0.35">
      <c r="A98" s="2"/>
      <c r="B98" s="91"/>
      <c r="C98" s="62" t="s">
        <v>76</v>
      </c>
      <c r="D98" s="95">
        <v>1.0999999999999999E-2</v>
      </c>
      <c r="E98" s="96"/>
      <c r="F98" s="97"/>
      <c r="G98" s="39">
        <v>5668</v>
      </c>
      <c r="H98" s="43">
        <f t="shared" si="37"/>
        <v>31.173999999999999</v>
      </c>
      <c r="I98" s="87">
        <f t="shared" si="38"/>
        <v>23.616666666666667</v>
      </c>
      <c r="J98" s="76"/>
      <c r="K98" s="82">
        <f t="shared" si="39"/>
        <v>29.520833333333336</v>
      </c>
      <c r="L98" s="88"/>
      <c r="M98" s="55">
        <v>1</v>
      </c>
      <c r="N98" s="37" t="s">
        <v>72</v>
      </c>
      <c r="O98" s="56" t="s">
        <v>73</v>
      </c>
      <c r="P98" s="36">
        <v>0.85499999999999998</v>
      </c>
      <c r="Q98" s="35">
        <v>0.17499999999999999</v>
      </c>
      <c r="R98" s="47">
        <f t="shared" si="40"/>
        <v>5.8734773021664011E-5</v>
      </c>
      <c r="S98" s="48">
        <f t="shared" si="41"/>
        <v>0.18309978141773539</v>
      </c>
      <c r="T98" s="49">
        <f>S98</f>
        <v>0.18309978141773539</v>
      </c>
      <c r="U98" s="89">
        <f t="shared" si="42"/>
        <v>6.5972222222222216E-5</v>
      </c>
      <c r="V98" s="76"/>
      <c r="W98" s="29">
        <f t="shared" si="43"/>
        <v>0.20566180555555555</v>
      </c>
      <c r="X98" s="78">
        <f t="shared" si="44"/>
        <v>5101.2</v>
      </c>
      <c r="Y98" s="79"/>
      <c r="Z98" s="7"/>
      <c r="AA98" s="26"/>
      <c r="AB98" s="28"/>
      <c r="AC98" s="1"/>
    </row>
    <row r="99" spans="1:29" ht="15.75" customHeight="1" thickTop="1" thickBot="1" x14ac:dyDescent="0.35">
      <c r="A99" s="2"/>
      <c r="B99" s="91"/>
      <c r="C99" s="62" t="s">
        <v>89</v>
      </c>
      <c r="D99" s="95">
        <v>1.7999999999999999E-2</v>
      </c>
      <c r="E99" s="96"/>
      <c r="F99" s="97"/>
      <c r="G99" s="39">
        <v>3276</v>
      </c>
      <c r="H99" s="43">
        <f t="shared" si="37"/>
        <v>29.483999999999998</v>
      </c>
      <c r="I99" s="87">
        <f t="shared" si="38"/>
        <v>13.65</v>
      </c>
      <c r="J99" s="76"/>
      <c r="K99" s="82">
        <f t="shared" si="39"/>
        <v>17.0625</v>
      </c>
      <c r="L99" s="88"/>
      <c r="M99" s="55">
        <v>1</v>
      </c>
      <c r="N99" s="37" t="s">
        <v>72</v>
      </c>
      <c r="O99" s="56" t="s">
        <v>73</v>
      </c>
      <c r="P99" s="36">
        <v>0.85499999999999998</v>
      </c>
      <c r="Q99" s="35">
        <v>0.17499999999999999</v>
      </c>
      <c r="R99" s="47">
        <f t="shared" si="40"/>
        <v>5.8734773021664011E-5</v>
      </c>
      <c r="S99" s="48">
        <f t="shared" si="41"/>
        <v>0.17317360477707416</v>
      </c>
      <c r="T99" s="49">
        <f>T98+S99</f>
        <v>0.35627338619480953</v>
      </c>
      <c r="U99" s="89">
        <f t="shared" si="42"/>
        <v>6.5972222222222216E-5</v>
      </c>
      <c r="V99" s="76"/>
      <c r="W99" s="29">
        <f t="shared" si="43"/>
        <v>0.19451249999999998</v>
      </c>
      <c r="X99" s="78">
        <f t="shared" si="44"/>
        <v>2948.4</v>
      </c>
      <c r="Y99" s="79"/>
      <c r="Z99" s="7"/>
      <c r="AA99" s="26"/>
      <c r="AB99" s="28"/>
      <c r="AC99" s="1"/>
    </row>
    <row r="100" spans="1:29" ht="15.75" customHeight="1" thickTop="1" thickBot="1" x14ac:dyDescent="0.35">
      <c r="A100" s="2"/>
      <c r="B100" s="90" t="s">
        <v>113</v>
      </c>
      <c r="C100" s="61" t="s">
        <v>71</v>
      </c>
      <c r="D100" s="92">
        <v>3.5000000000000003E-2</v>
      </c>
      <c r="E100" s="93"/>
      <c r="F100" s="94"/>
      <c r="G100" s="68">
        <v>13281</v>
      </c>
      <c r="H100" s="42">
        <f t="shared" ref="H100:H125" si="45">(G100/2)*D100</f>
        <v>232.41750000000002</v>
      </c>
      <c r="I100" s="87">
        <f t="shared" ref="I100:I125" si="46">(G100/240)</f>
        <v>55.337499999999999</v>
      </c>
      <c r="J100" s="76"/>
      <c r="K100" s="82">
        <f t="shared" ref="K100:K125" si="47">(I100*1.25)</f>
        <v>69.171875</v>
      </c>
      <c r="L100" s="88"/>
      <c r="M100" s="52">
        <v>1</v>
      </c>
      <c r="N100" s="53" t="s">
        <v>72</v>
      </c>
      <c r="O100" s="54" t="s">
        <v>73</v>
      </c>
      <c r="P100" s="36">
        <v>0.85499999999999998</v>
      </c>
      <c r="Q100" s="35">
        <v>0.17499999999999999</v>
      </c>
      <c r="R100" s="44">
        <f t="shared" ref="R100:R125" si="48">(P100*0.9 + Q100*SIN(ACOS(0.9))) / (120^2)</f>
        <v>5.8734773021664011E-5</v>
      </c>
      <c r="S100" s="45">
        <f t="shared" ref="S100:S125" si="49">(H100*R100)*100</f>
        <v>1.3650989108762597</v>
      </c>
      <c r="T100" s="46">
        <f>S100</f>
        <v>1.3650989108762597</v>
      </c>
      <c r="U100" s="89">
        <f t="shared" ref="U100:U125" si="50">P100/((120^2)*0.9)</f>
        <v>6.5972222222222216E-5</v>
      </c>
      <c r="V100" s="76"/>
      <c r="W100" s="29">
        <f t="shared" ref="W100:W125" si="51">(U100*H100)*100</f>
        <v>1.5333098958333333</v>
      </c>
      <c r="X100" s="78">
        <f t="shared" ref="X100:X125" si="52">(G100*0.9)</f>
        <v>11952.9</v>
      </c>
      <c r="Y100" s="79"/>
      <c r="Z100" s="7"/>
      <c r="AA100" s="26"/>
      <c r="AB100" s="28"/>
      <c r="AC100" s="1"/>
    </row>
    <row r="101" spans="1:29" ht="15.75" customHeight="1" thickTop="1" thickBot="1" x14ac:dyDescent="0.35">
      <c r="A101" s="2"/>
      <c r="B101" s="91"/>
      <c r="C101" s="62" t="s">
        <v>74</v>
      </c>
      <c r="D101" s="95">
        <v>2.1999999999999999E-2</v>
      </c>
      <c r="E101" s="96"/>
      <c r="F101" s="97"/>
      <c r="G101" s="39">
        <v>8222</v>
      </c>
      <c r="H101" s="43">
        <f t="shared" si="45"/>
        <v>90.441999999999993</v>
      </c>
      <c r="I101" s="87">
        <f t="shared" si="46"/>
        <v>34.258333333333333</v>
      </c>
      <c r="J101" s="76"/>
      <c r="K101" s="82">
        <f t="shared" si="47"/>
        <v>42.822916666666664</v>
      </c>
      <c r="L101" s="88"/>
      <c r="M101" s="55">
        <v>1</v>
      </c>
      <c r="N101" s="37" t="s">
        <v>72</v>
      </c>
      <c r="O101" s="56" t="s">
        <v>73</v>
      </c>
      <c r="P101" s="36">
        <v>0.85499999999999998</v>
      </c>
      <c r="Q101" s="35">
        <v>0.17499999999999999</v>
      </c>
      <c r="R101" s="47">
        <f t="shared" si="48"/>
        <v>5.8734773021664011E-5</v>
      </c>
      <c r="S101" s="48">
        <f t="shared" si="49"/>
        <v>0.53120903416253362</v>
      </c>
      <c r="T101" s="49">
        <f>T100+S101</f>
        <v>1.8963079450387932</v>
      </c>
      <c r="U101" s="89">
        <f t="shared" si="50"/>
        <v>6.5972222222222216E-5</v>
      </c>
      <c r="V101" s="76"/>
      <c r="W101" s="29">
        <f t="shared" si="51"/>
        <v>0.59666597222222217</v>
      </c>
      <c r="X101" s="78">
        <f t="shared" si="52"/>
        <v>7399.8</v>
      </c>
      <c r="Y101" s="79"/>
      <c r="Z101" s="7"/>
      <c r="AA101" s="26"/>
      <c r="AB101" s="28"/>
      <c r="AC101" s="1"/>
    </row>
    <row r="102" spans="1:29" ht="15.75" customHeight="1" thickTop="1" thickBot="1" x14ac:dyDescent="0.35">
      <c r="A102" s="2"/>
      <c r="B102" s="91"/>
      <c r="C102" s="62" t="s">
        <v>75</v>
      </c>
      <c r="D102" s="95">
        <v>2.4E-2</v>
      </c>
      <c r="E102" s="96"/>
      <c r="F102" s="97"/>
      <c r="G102" s="39">
        <v>4092</v>
      </c>
      <c r="H102" s="43">
        <f t="shared" si="45"/>
        <v>49.103999999999999</v>
      </c>
      <c r="I102" s="87">
        <f t="shared" si="46"/>
        <v>17.05</v>
      </c>
      <c r="J102" s="76"/>
      <c r="K102" s="82">
        <f t="shared" si="47"/>
        <v>21.3125</v>
      </c>
      <c r="L102" s="88"/>
      <c r="M102" s="55">
        <v>1</v>
      </c>
      <c r="N102" s="37" t="s">
        <v>72</v>
      </c>
      <c r="O102" s="56" t="s">
        <v>73</v>
      </c>
      <c r="P102" s="36">
        <v>0.85499999999999998</v>
      </c>
      <c r="Q102" s="35">
        <v>0.17499999999999999</v>
      </c>
      <c r="R102" s="47">
        <f t="shared" si="48"/>
        <v>5.8734773021664011E-5</v>
      </c>
      <c r="S102" s="48">
        <f t="shared" si="49"/>
        <v>0.28841122944557895</v>
      </c>
      <c r="T102" s="49">
        <f>T101+S102</f>
        <v>2.1847191744843721</v>
      </c>
      <c r="U102" s="89">
        <f t="shared" si="50"/>
        <v>6.5972222222222216E-5</v>
      </c>
      <c r="V102" s="76"/>
      <c r="W102" s="29">
        <f t="shared" si="51"/>
        <v>0.32394999999999996</v>
      </c>
      <c r="X102" s="78">
        <f t="shared" si="52"/>
        <v>3682.8</v>
      </c>
      <c r="Y102" s="79"/>
      <c r="Z102" s="7"/>
      <c r="AA102" s="26"/>
      <c r="AB102" s="28"/>
      <c r="AC102" s="1"/>
    </row>
    <row r="103" spans="1:29" ht="15.75" customHeight="1" thickTop="1" thickBot="1" x14ac:dyDescent="0.35">
      <c r="A103" s="2"/>
      <c r="B103" s="91"/>
      <c r="C103" s="62" t="s">
        <v>94</v>
      </c>
      <c r="D103" s="95">
        <v>2.8000000000000001E-2</v>
      </c>
      <c r="E103" s="96"/>
      <c r="F103" s="97"/>
      <c r="G103" s="39">
        <v>14902</v>
      </c>
      <c r="H103" s="43">
        <f t="shared" si="45"/>
        <v>208.62800000000001</v>
      </c>
      <c r="I103" s="87">
        <f t="shared" si="46"/>
        <v>62.091666666666669</v>
      </c>
      <c r="J103" s="76"/>
      <c r="K103" s="82">
        <f t="shared" si="47"/>
        <v>77.614583333333343</v>
      </c>
      <c r="L103" s="88"/>
      <c r="M103" s="55">
        <v>1</v>
      </c>
      <c r="N103" s="37" t="s">
        <v>72</v>
      </c>
      <c r="O103" s="56" t="s">
        <v>73</v>
      </c>
      <c r="P103" s="36">
        <v>0.85499999999999998</v>
      </c>
      <c r="Q103" s="35">
        <v>0.17499999999999999</v>
      </c>
      <c r="R103" s="47">
        <f t="shared" si="48"/>
        <v>5.8734773021664011E-5</v>
      </c>
      <c r="S103" s="48">
        <f t="shared" si="49"/>
        <v>1.2253718225963721</v>
      </c>
      <c r="T103" s="49">
        <f>T102+S103</f>
        <v>3.4100909970807445</v>
      </c>
      <c r="U103" s="89">
        <f t="shared" si="50"/>
        <v>6.5972222222222216E-5</v>
      </c>
      <c r="V103" s="76"/>
      <c r="W103" s="29">
        <f t="shared" si="51"/>
        <v>1.3763652777777777</v>
      </c>
      <c r="X103" s="78">
        <f t="shared" si="52"/>
        <v>13411.800000000001</v>
      </c>
      <c r="Y103" s="79"/>
      <c r="Z103" s="7"/>
      <c r="AA103" s="26"/>
      <c r="AB103" s="28"/>
      <c r="AC103" s="1"/>
    </row>
    <row r="104" spans="1:29" ht="15.75" customHeight="1" thickTop="1" thickBot="1" x14ac:dyDescent="0.35">
      <c r="A104" s="2"/>
      <c r="B104" s="91"/>
      <c r="C104" s="62" t="s">
        <v>89</v>
      </c>
      <c r="D104" s="95">
        <v>3.1E-2</v>
      </c>
      <c r="E104" s="96"/>
      <c r="F104" s="97"/>
      <c r="G104" s="39">
        <v>11425</v>
      </c>
      <c r="H104" s="43">
        <f t="shared" si="45"/>
        <v>177.08750000000001</v>
      </c>
      <c r="I104" s="87">
        <f t="shared" si="46"/>
        <v>47.604166666666664</v>
      </c>
      <c r="J104" s="76"/>
      <c r="K104" s="82">
        <f t="shared" si="47"/>
        <v>59.505208333333329</v>
      </c>
      <c r="L104" s="88"/>
      <c r="M104" s="55">
        <v>1</v>
      </c>
      <c r="N104" s="37" t="s">
        <v>72</v>
      </c>
      <c r="O104" s="56" t="s">
        <v>73</v>
      </c>
      <c r="P104" s="36">
        <v>0.85499999999999998</v>
      </c>
      <c r="Q104" s="35">
        <v>0.17499999999999999</v>
      </c>
      <c r="R104" s="47">
        <f t="shared" si="48"/>
        <v>5.8734773021664011E-5</v>
      </c>
      <c r="S104" s="48">
        <f t="shared" si="49"/>
        <v>1.0401194117473926</v>
      </c>
      <c r="T104" s="49">
        <f>S104</f>
        <v>1.0401194117473926</v>
      </c>
      <c r="U104" s="89">
        <f t="shared" si="50"/>
        <v>6.5972222222222216E-5</v>
      </c>
      <c r="V104" s="76"/>
      <c r="W104" s="29">
        <f t="shared" si="51"/>
        <v>1.1682855902777778</v>
      </c>
      <c r="X104" s="78">
        <f t="shared" si="52"/>
        <v>10282.5</v>
      </c>
      <c r="Y104" s="79"/>
      <c r="Z104" s="7"/>
      <c r="AA104" s="26"/>
      <c r="AB104" s="28"/>
      <c r="AC104" s="1"/>
    </row>
    <row r="105" spans="1:29" ht="15.75" customHeight="1" thickTop="1" thickBot="1" x14ac:dyDescent="0.35">
      <c r="A105" s="2"/>
      <c r="B105" s="91"/>
      <c r="C105" s="62" t="s">
        <v>78</v>
      </c>
      <c r="D105" s="95">
        <v>0.04</v>
      </c>
      <c r="E105" s="96"/>
      <c r="F105" s="97"/>
      <c r="G105" s="39">
        <v>8019</v>
      </c>
      <c r="H105" s="43">
        <f t="shared" si="45"/>
        <v>160.38</v>
      </c>
      <c r="I105" s="87">
        <f t="shared" si="46"/>
        <v>33.412500000000001</v>
      </c>
      <c r="J105" s="76"/>
      <c r="K105" s="82">
        <f t="shared" si="47"/>
        <v>41.765625</v>
      </c>
      <c r="L105" s="88"/>
      <c r="M105" s="55">
        <v>1</v>
      </c>
      <c r="N105" s="37" t="s">
        <v>72</v>
      </c>
      <c r="O105" s="56" t="s">
        <v>73</v>
      </c>
      <c r="P105" s="36">
        <v>0.85499999999999998</v>
      </c>
      <c r="Q105" s="35">
        <v>0.17499999999999999</v>
      </c>
      <c r="R105" s="47">
        <f t="shared" si="48"/>
        <v>5.8734773021664011E-5</v>
      </c>
      <c r="S105" s="48">
        <f t="shared" si="49"/>
        <v>0.94198828972144732</v>
      </c>
      <c r="T105" s="49">
        <f>T104+S105</f>
        <v>1.98210770146884</v>
      </c>
      <c r="U105" s="89">
        <f t="shared" si="50"/>
        <v>6.5972222222222216E-5</v>
      </c>
      <c r="V105" s="76"/>
      <c r="W105" s="29">
        <f t="shared" si="51"/>
        <v>1.0580624999999999</v>
      </c>
      <c r="X105" s="78">
        <f t="shared" si="52"/>
        <v>7217.1</v>
      </c>
      <c r="Y105" s="79"/>
      <c r="Z105" s="7"/>
      <c r="AA105" s="26"/>
      <c r="AB105" s="28"/>
      <c r="AC105" s="1"/>
    </row>
    <row r="106" spans="1:29" ht="15.75" customHeight="1" thickTop="1" thickBot="1" x14ac:dyDescent="0.35">
      <c r="A106" s="2"/>
      <c r="B106" s="91"/>
      <c r="C106" s="62" t="s">
        <v>85</v>
      </c>
      <c r="D106" s="95">
        <v>2.9000000000000001E-2</v>
      </c>
      <c r="E106" s="96"/>
      <c r="F106" s="97"/>
      <c r="G106" s="39">
        <v>5550</v>
      </c>
      <c r="H106" s="43">
        <f t="shared" si="45"/>
        <v>80.475000000000009</v>
      </c>
      <c r="I106" s="87">
        <f t="shared" si="46"/>
        <v>23.125</v>
      </c>
      <c r="J106" s="76"/>
      <c r="K106" s="82">
        <f t="shared" si="47"/>
        <v>28.90625</v>
      </c>
      <c r="L106" s="88"/>
      <c r="M106" s="55">
        <v>1</v>
      </c>
      <c r="N106" s="37" t="s">
        <v>72</v>
      </c>
      <c r="O106" s="56" t="s">
        <v>73</v>
      </c>
      <c r="P106" s="36">
        <v>0.85499999999999998</v>
      </c>
      <c r="Q106" s="35">
        <v>0.17499999999999999</v>
      </c>
      <c r="R106" s="47">
        <f t="shared" si="48"/>
        <v>5.8734773021664011E-5</v>
      </c>
      <c r="S106" s="48">
        <f t="shared" si="49"/>
        <v>0.47266808589184117</v>
      </c>
      <c r="T106" s="49">
        <f>T105+S106</f>
        <v>2.4547757873606812</v>
      </c>
      <c r="U106" s="89">
        <f t="shared" si="50"/>
        <v>6.5972222222222216E-5</v>
      </c>
      <c r="V106" s="76"/>
      <c r="W106" s="29">
        <f t="shared" si="51"/>
        <v>0.53091145833333331</v>
      </c>
      <c r="X106" s="78">
        <f t="shared" si="52"/>
        <v>4995</v>
      </c>
      <c r="Y106" s="79"/>
      <c r="Z106" s="7"/>
      <c r="AA106" s="26"/>
      <c r="AB106" s="28"/>
      <c r="AC106" s="1"/>
    </row>
    <row r="107" spans="1:29" ht="15.75" customHeight="1" thickTop="1" thickBot="1" x14ac:dyDescent="0.35">
      <c r="A107" s="2"/>
      <c r="B107" s="71" t="s">
        <v>115</v>
      </c>
      <c r="C107" s="13" t="s">
        <v>71</v>
      </c>
      <c r="D107" s="98">
        <v>1.9E-2</v>
      </c>
      <c r="E107" s="86"/>
      <c r="F107" s="86"/>
      <c r="G107" s="39">
        <v>10451</v>
      </c>
      <c r="H107" s="40">
        <f t="shared" si="45"/>
        <v>99.284499999999994</v>
      </c>
      <c r="I107" s="73">
        <f t="shared" si="46"/>
        <v>43.545833333333334</v>
      </c>
      <c r="J107" s="74"/>
      <c r="K107" s="75">
        <f t="shared" si="47"/>
        <v>54.432291666666671</v>
      </c>
      <c r="L107" s="76"/>
      <c r="M107" s="6">
        <v>1</v>
      </c>
      <c r="N107" s="23" t="s">
        <v>72</v>
      </c>
      <c r="O107" s="24" t="s">
        <v>73</v>
      </c>
      <c r="P107" s="9">
        <v>0.85499999999999998</v>
      </c>
      <c r="Q107" s="9">
        <v>0.17499999999999999</v>
      </c>
      <c r="R107" s="31">
        <f t="shared" si="48"/>
        <v>5.8734773021664011E-5</v>
      </c>
      <c r="S107" s="32">
        <f t="shared" si="49"/>
        <v>0.5831452572069401</v>
      </c>
      <c r="T107" s="33">
        <f>S107</f>
        <v>0.5831452572069401</v>
      </c>
      <c r="U107" s="77">
        <f t="shared" si="50"/>
        <v>6.5972222222222216E-5</v>
      </c>
      <c r="V107" s="76"/>
      <c r="W107" s="29">
        <f t="shared" si="51"/>
        <v>0.65500190972222216</v>
      </c>
      <c r="X107" s="78">
        <f t="shared" si="52"/>
        <v>9405.9</v>
      </c>
      <c r="Y107" s="79"/>
      <c r="Z107" s="7"/>
      <c r="AA107" s="26"/>
      <c r="AB107" s="28"/>
      <c r="AC107" s="1"/>
    </row>
    <row r="108" spans="1:29" ht="15.75" customHeight="1" thickTop="1" thickBot="1" x14ac:dyDescent="0.35">
      <c r="A108" s="2"/>
      <c r="B108" s="72"/>
      <c r="C108" s="34" t="s">
        <v>74</v>
      </c>
      <c r="D108" s="84">
        <v>1.2E-2</v>
      </c>
      <c r="E108" s="85"/>
      <c r="F108" s="86"/>
      <c r="G108" s="39">
        <v>5533</v>
      </c>
      <c r="H108" s="41">
        <f t="shared" si="45"/>
        <v>33.198</v>
      </c>
      <c r="I108" s="80">
        <f t="shared" si="46"/>
        <v>23.054166666666667</v>
      </c>
      <c r="J108" s="81"/>
      <c r="K108" s="82">
        <f t="shared" si="47"/>
        <v>28.817708333333336</v>
      </c>
      <c r="L108" s="76"/>
      <c r="M108" s="6">
        <v>1</v>
      </c>
      <c r="N108" s="23" t="s">
        <v>72</v>
      </c>
      <c r="O108" s="24" t="s">
        <v>73</v>
      </c>
      <c r="P108" s="9">
        <v>0.85499999999999998</v>
      </c>
      <c r="Q108" s="9">
        <v>0.17499999999999999</v>
      </c>
      <c r="R108" s="19">
        <f t="shared" si="48"/>
        <v>5.8734773021664011E-5</v>
      </c>
      <c r="S108" s="20">
        <f t="shared" si="49"/>
        <v>0.1949876994773202</v>
      </c>
      <c r="T108" s="20">
        <f>T107+S108</f>
        <v>0.7781329566842603</v>
      </c>
      <c r="U108" s="77">
        <f t="shared" si="50"/>
        <v>6.5972222222222216E-5</v>
      </c>
      <c r="V108" s="76"/>
      <c r="W108" s="29">
        <f t="shared" si="51"/>
        <v>0.21901458333333329</v>
      </c>
      <c r="X108" s="78">
        <f t="shared" si="52"/>
        <v>4979.7</v>
      </c>
      <c r="Y108" s="79"/>
      <c r="Z108" s="7"/>
      <c r="AA108" s="26"/>
      <c r="AB108" s="28"/>
      <c r="AC108" s="1"/>
    </row>
    <row r="109" spans="1:29" ht="15.75" customHeight="1" thickTop="1" thickBot="1" x14ac:dyDescent="0.35">
      <c r="A109" s="2"/>
      <c r="B109" s="72"/>
      <c r="C109" s="34" t="s">
        <v>105</v>
      </c>
      <c r="D109" s="84">
        <v>1.4E-2</v>
      </c>
      <c r="E109" s="85"/>
      <c r="F109" s="86"/>
      <c r="G109" s="39">
        <v>2383</v>
      </c>
      <c r="H109" s="41">
        <f t="shared" si="45"/>
        <v>16.681000000000001</v>
      </c>
      <c r="I109" s="83">
        <f t="shared" si="46"/>
        <v>9.9291666666666671</v>
      </c>
      <c r="J109" s="76"/>
      <c r="K109" s="82">
        <f t="shared" si="47"/>
        <v>12.411458333333334</v>
      </c>
      <c r="L109" s="76"/>
      <c r="M109" s="6">
        <v>1</v>
      </c>
      <c r="N109" s="23" t="s">
        <v>72</v>
      </c>
      <c r="O109" s="24" t="s">
        <v>73</v>
      </c>
      <c r="P109" s="9">
        <v>0.85499999999999998</v>
      </c>
      <c r="Q109" s="9">
        <v>0.17499999999999999</v>
      </c>
      <c r="R109" s="19">
        <f t="shared" si="48"/>
        <v>5.8734773021664011E-5</v>
      </c>
      <c r="S109" s="20">
        <f t="shared" si="49"/>
        <v>9.797547487743774E-2</v>
      </c>
      <c r="T109" s="20">
        <f>T108+S109</f>
        <v>0.87610843156169804</v>
      </c>
      <c r="U109" s="77">
        <f t="shared" si="50"/>
        <v>6.5972222222222216E-5</v>
      </c>
      <c r="V109" s="76"/>
      <c r="W109" s="29">
        <f t="shared" si="51"/>
        <v>0.11004826388888889</v>
      </c>
      <c r="X109" s="78">
        <f t="shared" si="52"/>
        <v>2144.7000000000003</v>
      </c>
      <c r="Y109" s="79"/>
      <c r="Z109" s="7"/>
      <c r="AA109" s="26"/>
      <c r="AB109" s="28"/>
      <c r="AC109" s="1"/>
    </row>
    <row r="110" spans="1:29" ht="15.75" customHeight="1" thickTop="1" thickBot="1" x14ac:dyDescent="0.35">
      <c r="A110" s="2"/>
      <c r="B110" s="72"/>
      <c r="C110" s="34" t="s">
        <v>94</v>
      </c>
      <c r="D110" s="84">
        <v>1.7999999999999999E-2</v>
      </c>
      <c r="E110" s="85"/>
      <c r="F110" s="86"/>
      <c r="G110" s="39">
        <v>19756</v>
      </c>
      <c r="H110" s="41">
        <f t="shared" si="45"/>
        <v>177.80399999999997</v>
      </c>
      <c r="I110" s="83">
        <f t="shared" si="46"/>
        <v>82.316666666666663</v>
      </c>
      <c r="J110" s="76"/>
      <c r="K110" s="82">
        <f t="shared" si="47"/>
        <v>102.89583333333333</v>
      </c>
      <c r="L110" s="76"/>
      <c r="M110" s="6">
        <v>1</v>
      </c>
      <c r="N110" s="23" t="s">
        <v>72</v>
      </c>
      <c r="O110" s="24" t="s">
        <v>73</v>
      </c>
      <c r="P110" s="9">
        <v>0.85499999999999998</v>
      </c>
      <c r="Q110" s="9">
        <v>0.17499999999999999</v>
      </c>
      <c r="R110" s="19">
        <f t="shared" si="48"/>
        <v>5.8734773021664011E-5</v>
      </c>
      <c r="S110" s="20">
        <f t="shared" si="49"/>
        <v>1.0443277582343946</v>
      </c>
      <c r="T110" s="20">
        <f>S110</f>
        <v>1.0443277582343946</v>
      </c>
      <c r="U110" s="77">
        <f t="shared" si="50"/>
        <v>6.5972222222222216E-5</v>
      </c>
      <c r="V110" s="76"/>
      <c r="W110" s="29">
        <f t="shared" si="51"/>
        <v>1.1730124999999998</v>
      </c>
      <c r="X110" s="78">
        <f t="shared" si="52"/>
        <v>17780.400000000001</v>
      </c>
      <c r="Y110" s="79"/>
      <c r="Z110" s="7"/>
      <c r="AA110" s="26"/>
      <c r="AB110" s="28"/>
      <c r="AC110" s="1"/>
    </row>
    <row r="111" spans="1:29" ht="15.75" customHeight="1" thickTop="1" thickBot="1" x14ac:dyDescent="0.35">
      <c r="A111" s="2"/>
      <c r="B111" s="72"/>
      <c r="C111" s="34" t="s">
        <v>89</v>
      </c>
      <c r="D111" s="84">
        <v>2.1000000000000001E-2</v>
      </c>
      <c r="E111" s="85"/>
      <c r="F111" s="86"/>
      <c r="G111" s="39">
        <v>14675</v>
      </c>
      <c r="H111" s="41">
        <f t="shared" si="45"/>
        <v>154.08750000000001</v>
      </c>
      <c r="I111" s="83">
        <f t="shared" si="46"/>
        <v>61.145833333333336</v>
      </c>
      <c r="J111" s="76"/>
      <c r="K111" s="82">
        <f t="shared" si="47"/>
        <v>76.432291666666671</v>
      </c>
      <c r="L111" s="76"/>
      <c r="M111" s="6">
        <v>1</v>
      </c>
      <c r="N111" s="23" t="s">
        <v>72</v>
      </c>
      <c r="O111" s="24" t="s">
        <v>73</v>
      </c>
      <c r="P111" s="9">
        <v>0.85499999999999998</v>
      </c>
      <c r="Q111" s="9">
        <v>0.17499999999999999</v>
      </c>
      <c r="R111" s="19">
        <f t="shared" si="48"/>
        <v>5.8734773021664011E-5</v>
      </c>
      <c r="S111" s="20">
        <f t="shared" si="49"/>
        <v>0.90502943379756529</v>
      </c>
      <c r="T111" s="20">
        <f>T110+S111</f>
        <v>1.9493571920319599</v>
      </c>
      <c r="U111" s="77">
        <f t="shared" si="50"/>
        <v>6.5972222222222216E-5</v>
      </c>
      <c r="V111" s="76"/>
      <c r="W111" s="29">
        <f t="shared" si="51"/>
        <v>1.0165494791666667</v>
      </c>
      <c r="X111" s="78">
        <f t="shared" si="52"/>
        <v>13207.5</v>
      </c>
      <c r="Y111" s="79"/>
      <c r="Z111" s="7"/>
      <c r="AA111" s="26"/>
      <c r="AB111" s="28"/>
      <c r="AC111" s="1"/>
    </row>
    <row r="112" spans="1:29" ht="15.75" customHeight="1" thickTop="1" thickBot="1" x14ac:dyDescent="0.35">
      <c r="A112" s="2"/>
      <c r="B112" s="72"/>
      <c r="C112" s="34" t="s">
        <v>78</v>
      </c>
      <c r="D112" s="84">
        <v>1.2999999999999999E-2</v>
      </c>
      <c r="E112" s="85"/>
      <c r="F112" s="86"/>
      <c r="G112" s="39">
        <v>9675</v>
      </c>
      <c r="H112" s="41">
        <f t="shared" si="45"/>
        <v>62.887499999999996</v>
      </c>
      <c r="I112" s="83">
        <f t="shared" si="46"/>
        <v>40.3125</v>
      </c>
      <c r="J112" s="76"/>
      <c r="K112" s="82">
        <f t="shared" si="47"/>
        <v>50.390625</v>
      </c>
      <c r="L112" s="76"/>
      <c r="M112" s="6">
        <v>1</v>
      </c>
      <c r="N112" s="23" t="s">
        <v>72</v>
      </c>
      <c r="O112" s="24" t="s">
        <v>73</v>
      </c>
      <c r="P112" s="9">
        <v>0.85499999999999998</v>
      </c>
      <c r="Q112" s="9">
        <v>0.17499999999999999</v>
      </c>
      <c r="R112" s="19">
        <f t="shared" si="48"/>
        <v>5.8734773021664011E-5</v>
      </c>
      <c r="S112" s="20">
        <f t="shared" si="49"/>
        <v>0.36936830383998953</v>
      </c>
      <c r="T112" s="20">
        <f>T111+S112</f>
        <v>2.3187254958719494</v>
      </c>
      <c r="U112" s="77">
        <f t="shared" si="50"/>
        <v>6.5972222222222216E-5</v>
      </c>
      <c r="V112" s="76"/>
      <c r="W112" s="29">
        <f t="shared" si="51"/>
        <v>0.41488281249999992</v>
      </c>
      <c r="X112" s="78">
        <f t="shared" si="52"/>
        <v>8707.5</v>
      </c>
      <c r="Y112" s="79"/>
      <c r="Z112" s="7"/>
      <c r="AA112" s="26"/>
      <c r="AB112" s="28"/>
      <c r="AC112" s="1"/>
    </row>
    <row r="113" spans="1:29" ht="15.75" customHeight="1" thickTop="1" thickBot="1" x14ac:dyDescent="0.35">
      <c r="A113" s="2"/>
      <c r="B113" s="72"/>
      <c r="C113" s="34" t="s">
        <v>114</v>
      </c>
      <c r="D113" s="84">
        <v>3.1E-2</v>
      </c>
      <c r="E113" s="85"/>
      <c r="F113" s="86"/>
      <c r="G113" s="39">
        <v>5554</v>
      </c>
      <c r="H113" s="41">
        <f t="shared" si="45"/>
        <v>86.087000000000003</v>
      </c>
      <c r="I113" s="83">
        <f t="shared" si="46"/>
        <v>23.141666666666666</v>
      </c>
      <c r="J113" s="76"/>
      <c r="K113" s="82">
        <f t="shared" si="47"/>
        <v>28.927083333333332</v>
      </c>
      <c r="L113" s="76"/>
      <c r="M113" s="6">
        <v>1</v>
      </c>
      <c r="N113" s="23" t="s">
        <v>72</v>
      </c>
      <c r="O113" s="24" t="s">
        <v>73</v>
      </c>
      <c r="P113" s="9">
        <v>0.85499999999999998</v>
      </c>
      <c r="Q113" s="9">
        <v>0.17499999999999999</v>
      </c>
      <c r="R113" s="19">
        <f t="shared" si="48"/>
        <v>5.8734773021664011E-5</v>
      </c>
      <c r="S113" s="20">
        <f t="shared" si="49"/>
        <v>0.50563004051159899</v>
      </c>
      <c r="T113" s="20">
        <f>S113</f>
        <v>0.50563004051159899</v>
      </c>
      <c r="U113" s="77">
        <f t="shared" si="50"/>
        <v>6.5972222222222216E-5</v>
      </c>
      <c r="V113" s="76"/>
      <c r="W113" s="29">
        <f t="shared" si="51"/>
        <v>0.56793506944444438</v>
      </c>
      <c r="X113" s="78">
        <f t="shared" si="52"/>
        <v>4998.6000000000004</v>
      </c>
      <c r="Y113" s="79"/>
      <c r="Z113" s="7"/>
      <c r="AA113" s="26"/>
      <c r="AB113" s="28"/>
      <c r="AC113" s="1"/>
    </row>
    <row r="114" spans="1:29" ht="15.75" customHeight="1" thickTop="1" thickBot="1" x14ac:dyDescent="0.35">
      <c r="A114" s="2"/>
      <c r="B114" s="71" t="s">
        <v>116</v>
      </c>
      <c r="C114" s="13" t="s">
        <v>71</v>
      </c>
      <c r="D114" s="98">
        <v>0.02</v>
      </c>
      <c r="E114" s="86"/>
      <c r="F114" s="86"/>
      <c r="G114" s="39">
        <v>10640</v>
      </c>
      <c r="H114" s="40">
        <f t="shared" si="45"/>
        <v>106.4</v>
      </c>
      <c r="I114" s="73">
        <f t="shared" si="46"/>
        <v>44.333333333333336</v>
      </c>
      <c r="J114" s="74"/>
      <c r="K114" s="75">
        <f t="shared" si="47"/>
        <v>55.416666666666671</v>
      </c>
      <c r="L114" s="76"/>
      <c r="M114" s="6">
        <v>1</v>
      </c>
      <c r="N114" s="23" t="s">
        <v>72</v>
      </c>
      <c r="O114" s="24" t="s">
        <v>73</v>
      </c>
      <c r="P114" s="9">
        <v>0.85499999999999998</v>
      </c>
      <c r="Q114" s="9">
        <v>0.17499999999999999</v>
      </c>
      <c r="R114" s="31">
        <f t="shared" si="48"/>
        <v>5.8734773021664011E-5</v>
      </c>
      <c r="S114" s="32">
        <f t="shared" si="49"/>
        <v>0.62493798495050512</v>
      </c>
      <c r="T114" s="33">
        <f>S114</f>
        <v>0.62493798495050512</v>
      </c>
      <c r="U114" s="77">
        <f t="shared" si="50"/>
        <v>6.5972222222222216E-5</v>
      </c>
      <c r="V114" s="76"/>
      <c r="W114" s="29">
        <f t="shared" si="51"/>
        <v>0.70194444444444448</v>
      </c>
      <c r="X114" s="78">
        <f t="shared" si="52"/>
        <v>9576</v>
      </c>
      <c r="Y114" s="79"/>
      <c r="Z114" s="7"/>
      <c r="AA114" s="26"/>
      <c r="AB114" s="28"/>
      <c r="AC114" s="1"/>
    </row>
    <row r="115" spans="1:29" ht="15.75" customHeight="1" thickTop="1" thickBot="1" x14ac:dyDescent="0.35">
      <c r="A115" s="2"/>
      <c r="B115" s="72"/>
      <c r="C115" s="34" t="s">
        <v>74</v>
      </c>
      <c r="D115" s="84">
        <v>2.7E-2</v>
      </c>
      <c r="E115" s="85"/>
      <c r="F115" s="86"/>
      <c r="G115" s="39">
        <v>7291</v>
      </c>
      <c r="H115" s="41">
        <f t="shared" si="45"/>
        <v>98.4285</v>
      </c>
      <c r="I115" s="80">
        <f t="shared" si="46"/>
        <v>30.379166666666666</v>
      </c>
      <c r="J115" s="81"/>
      <c r="K115" s="82">
        <f t="shared" si="47"/>
        <v>37.973958333333336</v>
      </c>
      <c r="L115" s="76"/>
      <c r="M115" s="6">
        <v>1</v>
      </c>
      <c r="N115" s="23" t="s">
        <v>72</v>
      </c>
      <c r="O115" s="24" t="s">
        <v>73</v>
      </c>
      <c r="P115" s="9">
        <v>0.85499999999999998</v>
      </c>
      <c r="Q115" s="9">
        <v>0.17499999999999999</v>
      </c>
      <c r="R115" s="19">
        <f t="shared" si="48"/>
        <v>5.8734773021664011E-5</v>
      </c>
      <c r="S115" s="20">
        <f t="shared" si="49"/>
        <v>0.57811756063628561</v>
      </c>
      <c r="T115" s="20">
        <f>T114+S115</f>
        <v>1.2030555455867908</v>
      </c>
      <c r="U115" s="77">
        <f t="shared" si="50"/>
        <v>6.5972222222222216E-5</v>
      </c>
      <c r="V115" s="76"/>
      <c r="W115" s="29">
        <f t="shared" si="51"/>
        <v>0.64935468750000003</v>
      </c>
      <c r="X115" s="78">
        <f t="shared" si="52"/>
        <v>6561.9000000000005</v>
      </c>
      <c r="Y115" s="79"/>
      <c r="Z115" s="7"/>
      <c r="AA115" s="26"/>
      <c r="AB115" s="28"/>
      <c r="AC115" s="1"/>
    </row>
    <row r="116" spans="1:29" ht="15.75" customHeight="1" thickTop="1" thickBot="1" x14ac:dyDescent="0.35">
      <c r="A116" s="2"/>
      <c r="B116" s="72"/>
      <c r="C116" s="34" t="s">
        <v>75</v>
      </c>
      <c r="D116" s="84">
        <v>1.6E-2</v>
      </c>
      <c r="E116" s="85"/>
      <c r="F116" s="86"/>
      <c r="G116" s="39">
        <v>4863</v>
      </c>
      <c r="H116" s="41">
        <f t="shared" si="45"/>
        <v>38.904000000000003</v>
      </c>
      <c r="I116" s="83">
        <f t="shared" si="46"/>
        <v>20.262499999999999</v>
      </c>
      <c r="J116" s="76"/>
      <c r="K116" s="82">
        <f t="shared" si="47"/>
        <v>25.328125</v>
      </c>
      <c r="L116" s="76"/>
      <c r="M116" s="6">
        <v>1</v>
      </c>
      <c r="N116" s="23" t="s">
        <v>72</v>
      </c>
      <c r="O116" s="24" t="s">
        <v>73</v>
      </c>
      <c r="P116" s="9">
        <v>0.85499999999999998</v>
      </c>
      <c r="Q116" s="9">
        <v>0.17499999999999999</v>
      </c>
      <c r="R116" s="19">
        <f t="shared" si="48"/>
        <v>5.8734773021664011E-5</v>
      </c>
      <c r="S116" s="20">
        <f t="shared" si="49"/>
        <v>0.22850176096348168</v>
      </c>
      <c r="T116" s="20">
        <f>T115+S116</f>
        <v>1.4315573065502725</v>
      </c>
      <c r="U116" s="77">
        <f t="shared" si="50"/>
        <v>6.5972222222222216E-5</v>
      </c>
      <c r="V116" s="76"/>
      <c r="W116" s="29">
        <f t="shared" si="51"/>
        <v>0.25665833333333332</v>
      </c>
      <c r="X116" s="78">
        <f t="shared" si="52"/>
        <v>4376.7</v>
      </c>
      <c r="Y116" s="79"/>
      <c r="Z116" s="7"/>
      <c r="AA116" s="26"/>
      <c r="AB116" s="28"/>
      <c r="AC116" s="1"/>
    </row>
    <row r="117" spans="1:29" ht="15.75" customHeight="1" thickTop="1" thickBot="1" x14ac:dyDescent="0.35">
      <c r="A117" s="2"/>
      <c r="B117" s="72"/>
      <c r="C117" s="34" t="s">
        <v>94</v>
      </c>
      <c r="D117" s="84">
        <v>1.2E-2</v>
      </c>
      <c r="E117" s="85"/>
      <c r="F117" s="86"/>
      <c r="G117" s="39">
        <v>8076</v>
      </c>
      <c r="H117" s="41">
        <f t="shared" si="45"/>
        <v>48.456000000000003</v>
      </c>
      <c r="I117" s="83">
        <f t="shared" si="46"/>
        <v>33.65</v>
      </c>
      <c r="J117" s="76"/>
      <c r="K117" s="82">
        <f t="shared" si="47"/>
        <v>42.0625</v>
      </c>
      <c r="L117" s="76"/>
      <c r="M117" s="6">
        <v>1</v>
      </c>
      <c r="N117" s="23" t="s">
        <v>72</v>
      </c>
      <c r="O117" s="24" t="s">
        <v>73</v>
      </c>
      <c r="P117" s="9">
        <v>0.85499999999999998</v>
      </c>
      <c r="Q117" s="9">
        <v>0.17499999999999999</v>
      </c>
      <c r="R117" s="19">
        <f t="shared" si="48"/>
        <v>5.8734773021664011E-5</v>
      </c>
      <c r="S117" s="20">
        <f t="shared" si="49"/>
        <v>0.28460521615377515</v>
      </c>
      <c r="T117" s="20">
        <f>S117</f>
        <v>0.28460521615377515</v>
      </c>
      <c r="U117" s="77">
        <f t="shared" si="50"/>
        <v>6.5972222222222216E-5</v>
      </c>
      <c r="V117" s="76"/>
      <c r="W117" s="29">
        <f t="shared" si="51"/>
        <v>0.31967499999999999</v>
      </c>
      <c r="X117" s="78">
        <f t="shared" si="52"/>
        <v>7268.4000000000005</v>
      </c>
      <c r="Y117" s="79"/>
      <c r="Z117" s="7"/>
      <c r="AA117" s="26"/>
      <c r="AB117" s="28"/>
      <c r="AC117" s="1"/>
    </row>
    <row r="118" spans="1:29" ht="15.75" customHeight="1" thickTop="1" thickBot="1" x14ac:dyDescent="0.35">
      <c r="A118" s="2"/>
      <c r="B118" s="72"/>
      <c r="C118" s="34" t="s">
        <v>89</v>
      </c>
      <c r="D118" s="84">
        <v>1.7000000000000001E-2</v>
      </c>
      <c r="E118" s="85"/>
      <c r="F118" s="86"/>
      <c r="G118" s="39">
        <v>5671</v>
      </c>
      <c r="H118" s="41">
        <f t="shared" si="45"/>
        <v>48.203500000000005</v>
      </c>
      <c r="I118" s="83">
        <f t="shared" si="46"/>
        <v>23.629166666666666</v>
      </c>
      <c r="J118" s="76"/>
      <c r="K118" s="82">
        <f t="shared" si="47"/>
        <v>29.536458333333332</v>
      </c>
      <c r="L118" s="76"/>
      <c r="M118" s="6">
        <v>1</v>
      </c>
      <c r="N118" s="23" t="s">
        <v>72</v>
      </c>
      <c r="O118" s="24" t="s">
        <v>73</v>
      </c>
      <c r="P118" s="9">
        <v>0.85499999999999998</v>
      </c>
      <c r="Q118" s="9">
        <v>0.17499999999999999</v>
      </c>
      <c r="R118" s="19">
        <f t="shared" si="48"/>
        <v>5.8734773021664011E-5</v>
      </c>
      <c r="S118" s="20">
        <f t="shared" si="49"/>
        <v>0.28312216313497818</v>
      </c>
      <c r="T118" s="20">
        <f>T117+S118</f>
        <v>0.56772737928875339</v>
      </c>
      <c r="U118" s="77">
        <f t="shared" si="50"/>
        <v>6.5972222222222216E-5</v>
      </c>
      <c r="V118" s="76"/>
      <c r="W118" s="29">
        <f t="shared" si="51"/>
        <v>0.31800920138888888</v>
      </c>
      <c r="X118" s="78">
        <f t="shared" si="52"/>
        <v>5103.9000000000005</v>
      </c>
      <c r="Y118" s="79"/>
      <c r="Z118" s="7"/>
      <c r="AA118" s="26"/>
      <c r="AB118" s="28"/>
      <c r="AC118" s="1"/>
    </row>
    <row r="119" spans="1:29" ht="15.75" customHeight="1" thickTop="1" thickBot="1" x14ac:dyDescent="0.35">
      <c r="A119" s="2"/>
      <c r="B119" s="72"/>
      <c r="C119" s="34" t="s">
        <v>78</v>
      </c>
      <c r="D119" s="84">
        <v>1.7999999999999999E-2</v>
      </c>
      <c r="E119" s="85"/>
      <c r="F119" s="86"/>
      <c r="G119" s="39">
        <v>2384</v>
      </c>
      <c r="H119" s="41">
        <f t="shared" si="45"/>
        <v>21.456</v>
      </c>
      <c r="I119" s="83">
        <f t="shared" si="46"/>
        <v>9.9333333333333336</v>
      </c>
      <c r="J119" s="76"/>
      <c r="K119" s="82">
        <f t="shared" si="47"/>
        <v>12.416666666666668</v>
      </c>
      <c r="L119" s="76"/>
      <c r="M119" s="6">
        <v>1</v>
      </c>
      <c r="N119" s="23" t="s">
        <v>72</v>
      </c>
      <c r="O119" s="24" t="s">
        <v>73</v>
      </c>
      <c r="P119" s="9">
        <v>0.85499999999999998</v>
      </c>
      <c r="Q119" s="9">
        <v>0.17499999999999999</v>
      </c>
      <c r="R119" s="19">
        <f t="shared" si="48"/>
        <v>5.8734773021664011E-5</v>
      </c>
      <c r="S119" s="20">
        <f t="shared" si="49"/>
        <v>0.12602132899528232</v>
      </c>
      <c r="T119" s="20">
        <f>T118+S119</f>
        <v>0.69374870828403568</v>
      </c>
      <c r="U119" s="77">
        <f t="shared" si="50"/>
        <v>6.5972222222222216E-5</v>
      </c>
      <c r="V119" s="76"/>
      <c r="W119" s="29">
        <f t="shared" si="51"/>
        <v>0.14154999999999998</v>
      </c>
      <c r="X119" s="78">
        <f t="shared" si="52"/>
        <v>2145.6</v>
      </c>
      <c r="Y119" s="79"/>
      <c r="Z119" s="7"/>
      <c r="AA119" s="26"/>
      <c r="AB119" s="28"/>
      <c r="AC119" s="1"/>
    </row>
    <row r="120" spans="1:29" ht="15.75" customHeight="1" thickTop="1" thickBot="1" x14ac:dyDescent="0.35">
      <c r="A120" s="2"/>
      <c r="B120" s="71" t="s">
        <v>118</v>
      </c>
      <c r="C120" s="13" t="s">
        <v>71</v>
      </c>
      <c r="D120" s="98">
        <v>1.0999999999999999E-2</v>
      </c>
      <c r="E120" s="86"/>
      <c r="F120" s="86"/>
      <c r="G120" s="39">
        <v>25135</v>
      </c>
      <c r="H120" s="40">
        <f t="shared" si="45"/>
        <v>138.24249999999998</v>
      </c>
      <c r="I120" s="73">
        <f t="shared" si="46"/>
        <v>104.72916666666667</v>
      </c>
      <c r="J120" s="74"/>
      <c r="K120" s="75">
        <f t="shared" si="47"/>
        <v>130.91145833333334</v>
      </c>
      <c r="L120" s="76"/>
      <c r="M120" s="6">
        <v>1</v>
      </c>
      <c r="N120" s="23" t="s">
        <v>72</v>
      </c>
      <c r="O120" s="24" t="s">
        <v>73</v>
      </c>
      <c r="P120" s="9">
        <v>0.85499999999999998</v>
      </c>
      <c r="Q120" s="9">
        <v>0.17499999999999999</v>
      </c>
      <c r="R120" s="31">
        <f t="shared" si="48"/>
        <v>5.8734773021664011E-5</v>
      </c>
      <c r="S120" s="32">
        <f t="shared" si="49"/>
        <v>0.81196418594473851</v>
      </c>
      <c r="T120" s="33">
        <f>S120</f>
        <v>0.81196418594473851</v>
      </c>
      <c r="U120" s="77">
        <f t="shared" si="50"/>
        <v>6.5972222222222216E-5</v>
      </c>
      <c r="V120" s="76"/>
      <c r="W120" s="29">
        <f t="shared" si="51"/>
        <v>0.91201649305555532</v>
      </c>
      <c r="X120" s="78">
        <f t="shared" si="52"/>
        <v>22621.5</v>
      </c>
      <c r="Y120" s="79"/>
      <c r="Z120" s="7"/>
      <c r="AA120" s="26"/>
      <c r="AB120" s="28"/>
      <c r="AC120" s="1"/>
    </row>
    <row r="121" spans="1:29" ht="15.75" customHeight="1" thickTop="1" thickBot="1" x14ac:dyDescent="0.35">
      <c r="A121" s="2"/>
      <c r="B121" s="72"/>
      <c r="C121" s="34" t="s">
        <v>74</v>
      </c>
      <c r="D121" s="84">
        <v>3.5000000000000003E-2</v>
      </c>
      <c r="E121" s="85"/>
      <c r="F121" s="86"/>
      <c r="G121" s="39">
        <v>23558</v>
      </c>
      <c r="H121" s="41">
        <f t="shared" si="45"/>
        <v>412.26500000000004</v>
      </c>
      <c r="I121" s="80">
        <f t="shared" si="46"/>
        <v>98.158333333333331</v>
      </c>
      <c r="J121" s="81"/>
      <c r="K121" s="82">
        <f t="shared" si="47"/>
        <v>122.69791666666666</v>
      </c>
      <c r="L121" s="76"/>
      <c r="M121" s="6">
        <v>1</v>
      </c>
      <c r="N121" s="23" t="s">
        <v>72</v>
      </c>
      <c r="O121" s="24" t="s">
        <v>73</v>
      </c>
      <c r="P121" s="9">
        <v>0.85499999999999998</v>
      </c>
      <c r="Q121" s="9">
        <v>0.17499999999999999</v>
      </c>
      <c r="R121" s="19">
        <f t="shared" si="48"/>
        <v>5.8734773021664011E-5</v>
      </c>
      <c r="S121" s="20">
        <f t="shared" si="49"/>
        <v>2.4214291199776317</v>
      </c>
      <c r="T121" s="20">
        <f>T120+S121</f>
        <v>3.2333933059223701</v>
      </c>
      <c r="U121" s="77">
        <f t="shared" si="50"/>
        <v>6.5972222222222216E-5</v>
      </c>
      <c r="V121" s="76"/>
      <c r="W121" s="29">
        <f t="shared" si="51"/>
        <v>2.7198038194444445</v>
      </c>
      <c r="X121" s="78">
        <f t="shared" si="52"/>
        <v>21202.2</v>
      </c>
      <c r="Y121" s="79"/>
      <c r="Z121" s="7"/>
      <c r="AA121" s="26"/>
      <c r="AB121" s="28"/>
      <c r="AC121" s="1"/>
    </row>
    <row r="122" spans="1:29" ht="15.75" customHeight="1" thickTop="1" thickBot="1" x14ac:dyDescent="0.35">
      <c r="A122" s="2"/>
      <c r="B122" s="72"/>
      <c r="C122" s="34" t="s">
        <v>75</v>
      </c>
      <c r="D122" s="84">
        <v>0.02</v>
      </c>
      <c r="E122" s="85"/>
      <c r="F122" s="86"/>
      <c r="G122" s="39">
        <v>19637</v>
      </c>
      <c r="H122" s="41">
        <f t="shared" si="45"/>
        <v>196.37</v>
      </c>
      <c r="I122" s="83">
        <f t="shared" si="46"/>
        <v>81.82083333333334</v>
      </c>
      <c r="J122" s="76"/>
      <c r="K122" s="82">
        <f t="shared" si="47"/>
        <v>102.27604166666667</v>
      </c>
      <c r="L122" s="76"/>
      <c r="M122" s="6">
        <v>1</v>
      </c>
      <c r="N122" s="23" t="s">
        <v>72</v>
      </c>
      <c r="O122" s="24" t="s">
        <v>73</v>
      </c>
      <c r="P122" s="9">
        <v>0.85499999999999998</v>
      </c>
      <c r="Q122" s="9">
        <v>0.17499999999999999</v>
      </c>
      <c r="R122" s="19">
        <f t="shared" si="48"/>
        <v>5.8734773021664011E-5</v>
      </c>
      <c r="S122" s="20">
        <f t="shared" si="49"/>
        <v>1.1533747378264161</v>
      </c>
      <c r="T122" s="20">
        <f>T121+S122</f>
        <v>4.3867680437487859</v>
      </c>
      <c r="U122" s="77">
        <f t="shared" si="50"/>
        <v>6.5972222222222216E-5</v>
      </c>
      <c r="V122" s="76"/>
      <c r="W122" s="29">
        <f t="shared" si="51"/>
        <v>1.2954965277777777</v>
      </c>
      <c r="X122" s="78">
        <f t="shared" si="52"/>
        <v>17673.3</v>
      </c>
      <c r="Y122" s="79"/>
      <c r="Z122" s="7"/>
      <c r="AA122" s="26"/>
      <c r="AB122" s="28"/>
      <c r="AC122" s="1"/>
    </row>
    <row r="123" spans="1:29" ht="15.75" customHeight="1" thickTop="1" thickBot="1" x14ac:dyDescent="0.35">
      <c r="A123" s="2"/>
      <c r="B123" s="72"/>
      <c r="C123" s="34" t="s">
        <v>76</v>
      </c>
      <c r="D123" s="84">
        <v>2.9000000000000001E-2</v>
      </c>
      <c r="E123" s="85"/>
      <c r="F123" s="86"/>
      <c r="G123" s="39">
        <v>4875</v>
      </c>
      <c r="H123" s="41">
        <f t="shared" si="45"/>
        <v>70.6875</v>
      </c>
      <c r="I123" s="83">
        <f t="shared" si="46"/>
        <v>20.3125</v>
      </c>
      <c r="J123" s="76"/>
      <c r="K123" s="82">
        <f t="shared" si="47"/>
        <v>25.390625</v>
      </c>
      <c r="L123" s="76"/>
      <c r="M123" s="6">
        <v>1</v>
      </c>
      <c r="N123" s="23" t="s">
        <v>72</v>
      </c>
      <c r="O123" s="24" t="s">
        <v>73</v>
      </c>
      <c r="P123" s="9">
        <v>0.85499999999999998</v>
      </c>
      <c r="Q123" s="9">
        <v>0.17499999999999999</v>
      </c>
      <c r="R123" s="19">
        <f t="shared" si="48"/>
        <v>5.8734773021664011E-5</v>
      </c>
      <c r="S123" s="20">
        <f t="shared" si="49"/>
        <v>0.41518142679688746</v>
      </c>
      <c r="T123" s="20">
        <f>S123</f>
        <v>0.41518142679688746</v>
      </c>
      <c r="U123" s="77">
        <f t="shared" si="50"/>
        <v>6.5972222222222216E-5</v>
      </c>
      <c r="V123" s="76"/>
      <c r="W123" s="29">
        <f t="shared" si="51"/>
        <v>0.4663411458333333</v>
      </c>
      <c r="X123" s="78">
        <f t="shared" si="52"/>
        <v>4387.5</v>
      </c>
      <c r="Y123" s="79"/>
      <c r="Z123" s="7"/>
      <c r="AA123" s="26"/>
      <c r="AB123" s="28"/>
      <c r="AC123" s="1"/>
    </row>
    <row r="124" spans="1:29" ht="15.75" customHeight="1" thickTop="1" thickBot="1" x14ac:dyDescent="0.35">
      <c r="A124" s="2"/>
      <c r="B124" s="72"/>
      <c r="C124" s="34" t="s">
        <v>112</v>
      </c>
      <c r="D124" s="84">
        <v>2.4E-2</v>
      </c>
      <c r="E124" s="85"/>
      <c r="F124" s="86"/>
      <c r="G124" s="39">
        <v>5546</v>
      </c>
      <c r="H124" s="41">
        <f t="shared" si="45"/>
        <v>66.552000000000007</v>
      </c>
      <c r="I124" s="83">
        <f t="shared" si="46"/>
        <v>23.108333333333334</v>
      </c>
      <c r="J124" s="76"/>
      <c r="K124" s="82">
        <f t="shared" si="47"/>
        <v>28.885416666666668</v>
      </c>
      <c r="L124" s="76"/>
      <c r="M124" s="6">
        <v>1</v>
      </c>
      <c r="N124" s="23" t="s">
        <v>72</v>
      </c>
      <c r="O124" s="24" t="s">
        <v>73</v>
      </c>
      <c r="P124" s="9">
        <v>0.85499999999999998</v>
      </c>
      <c r="Q124" s="9">
        <v>0.17499999999999999</v>
      </c>
      <c r="R124" s="19">
        <f t="shared" si="48"/>
        <v>5.8734773021664011E-5</v>
      </c>
      <c r="S124" s="20">
        <f t="shared" si="49"/>
        <v>0.39089166141377835</v>
      </c>
      <c r="T124" s="20">
        <f>T123+S124</f>
        <v>0.80607308821066581</v>
      </c>
      <c r="U124" s="77">
        <f t="shared" si="50"/>
        <v>6.5972222222222216E-5</v>
      </c>
      <c r="V124" s="76"/>
      <c r="W124" s="29">
        <f t="shared" si="51"/>
        <v>0.43905833333333333</v>
      </c>
      <c r="X124" s="78">
        <f t="shared" si="52"/>
        <v>4991.4000000000005</v>
      </c>
      <c r="Y124" s="79"/>
      <c r="Z124" s="7"/>
      <c r="AA124" s="26"/>
      <c r="AB124" s="28"/>
      <c r="AC124" s="1"/>
    </row>
    <row r="125" spans="1:29" ht="15.75" customHeight="1" thickTop="1" thickBot="1" x14ac:dyDescent="0.35">
      <c r="A125" s="2"/>
      <c r="B125" s="72"/>
      <c r="C125" s="34" t="s">
        <v>117</v>
      </c>
      <c r="D125" s="84">
        <v>2.1999999999999999E-2</v>
      </c>
      <c r="E125" s="85"/>
      <c r="F125" s="86"/>
      <c r="G125" s="39">
        <v>4093</v>
      </c>
      <c r="H125" s="41">
        <f t="shared" si="45"/>
        <v>45.022999999999996</v>
      </c>
      <c r="I125" s="83">
        <f t="shared" si="46"/>
        <v>17.054166666666667</v>
      </c>
      <c r="J125" s="76"/>
      <c r="K125" s="82">
        <f t="shared" si="47"/>
        <v>21.317708333333336</v>
      </c>
      <c r="L125" s="76"/>
      <c r="M125" s="6">
        <v>1</v>
      </c>
      <c r="N125" s="23" t="s">
        <v>72</v>
      </c>
      <c r="O125" s="24" t="s">
        <v>73</v>
      </c>
      <c r="P125" s="9">
        <v>0.85499999999999998</v>
      </c>
      <c r="Q125" s="9">
        <v>0.17499999999999999</v>
      </c>
      <c r="R125" s="19">
        <f t="shared" si="48"/>
        <v>5.8734773021664011E-5</v>
      </c>
      <c r="S125" s="20">
        <f t="shared" si="49"/>
        <v>0.26444156857543782</v>
      </c>
      <c r="T125" s="20">
        <f>T124+S125</f>
        <v>1.0705146567861037</v>
      </c>
      <c r="U125" s="77">
        <f t="shared" si="50"/>
        <v>6.5972222222222216E-5</v>
      </c>
      <c r="V125" s="76"/>
      <c r="W125" s="29">
        <f t="shared" si="51"/>
        <v>0.29702673611111108</v>
      </c>
      <c r="X125" s="78">
        <f t="shared" si="52"/>
        <v>3683.7000000000003</v>
      </c>
      <c r="Y125" s="79"/>
      <c r="Z125" s="7"/>
      <c r="AA125" s="26"/>
      <c r="AB125" s="28"/>
      <c r="AC125" s="1"/>
    </row>
    <row r="126" spans="1:29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5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5.7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5.7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5.7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5.7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</sheetData>
  <mergeCells count="644">
    <mergeCell ref="X23:Y23"/>
    <mergeCell ref="X21:Y21"/>
    <mergeCell ref="X22:Y22"/>
    <mergeCell ref="U32:V32"/>
    <mergeCell ref="U33:V33"/>
    <mergeCell ref="U25:V25"/>
    <mergeCell ref="U34:V34"/>
    <mergeCell ref="U35:V35"/>
    <mergeCell ref="X62:Y62"/>
    <mergeCell ref="U36:V36"/>
    <mergeCell ref="U54:V54"/>
    <mergeCell ref="B47:B56"/>
    <mergeCell ref="I55:J55"/>
    <mergeCell ref="I56:J56"/>
    <mergeCell ref="I42:J42"/>
    <mergeCell ref="I62:J62"/>
    <mergeCell ref="U24:V24"/>
    <mergeCell ref="X32:Y32"/>
    <mergeCell ref="X33:Y33"/>
    <mergeCell ref="X31:Y31"/>
    <mergeCell ref="K42:L42"/>
    <mergeCell ref="I43:J43"/>
    <mergeCell ref="I44:J44"/>
    <mergeCell ref="I45:J45"/>
    <mergeCell ref="I46:J46"/>
    <mergeCell ref="K43:L43"/>
    <mergeCell ref="K44:L44"/>
    <mergeCell ref="K45:L45"/>
    <mergeCell ref="K46:L46"/>
    <mergeCell ref="B63:B75"/>
    <mergeCell ref="B34:B41"/>
    <mergeCell ref="K51:L51"/>
    <mergeCell ref="K52:L52"/>
    <mergeCell ref="K53:L53"/>
    <mergeCell ref="K54:L54"/>
    <mergeCell ref="K55:L55"/>
    <mergeCell ref="K56:L56"/>
    <mergeCell ref="K66:L66"/>
    <mergeCell ref="B42:B46"/>
    <mergeCell ref="B57:B62"/>
    <mergeCell ref="W12:W13"/>
    <mergeCell ref="X12:Y13"/>
    <mergeCell ref="U14:V14"/>
    <mergeCell ref="X14:Y14"/>
    <mergeCell ref="X15:Y15"/>
    <mergeCell ref="X16:Y16"/>
    <mergeCell ref="K34:L34"/>
    <mergeCell ref="K35:L35"/>
    <mergeCell ref="U43:V43"/>
    <mergeCell ref="K24:L24"/>
    <mergeCell ref="X17:Y17"/>
    <mergeCell ref="X18:Y18"/>
    <mergeCell ref="X19:Y19"/>
    <mergeCell ref="X20:Y20"/>
    <mergeCell ref="K36:L36"/>
    <mergeCell ref="K37:L37"/>
    <mergeCell ref="K38:L38"/>
    <mergeCell ref="K39:L39"/>
    <mergeCell ref="K40:L40"/>
    <mergeCell ref="K41:L41"/>
    <mergeCell ref="T12:T13"/>
    <mergeCell ref="U15:V15"/>
    <mergeCell ref="U16:V16"/>
    <mergeCell ref="U17:V17"/>
    <mergeCell ref="K8:K10"/>
    <mergeCell ref="M11:Q11"/>
    <mergeCell ref="R11:T11"/>
    <mergeCell ref="U11:Y11"/>
    <mergeCell ref="L8:L10"/>
    <mergeCell ref="M8:N10"/>
    <mergeCell ref="O8:O10"/>
    <mergeCell ref="P8:Q10"/>
    <mergeCell ref="T8:T10"/>
    <mergeCell ref="R9:R10"/>
    <mergeCell ref="S9:S10"/>
    <mergeCell ref="I11:L11"/>
    <mergeCell ref="O6:O7"/>
    <mergeCell ref="P6:Q7"/>
    <mergeCell ref="R6:S7"/>
    <mergeCell ref="T6:T7"/>
    <mergeCell ref="U6:W6"/>
    <mergeCell ref="X6:Y7"/>
    <mergeCell ref="U7:V7"/>
    <mergeCell ref="B7:B8"/>
    <mergeCell ref="C7:C8"/>
    <mergeCell ref="B6:F6"/>
    <mergeCell ref="G6:H6"/>
    <mergeCell ref="I6:J6"/>
    <mergeCell ref="K6:L6"/>
    <mergeCell ref="M6:N7"/>
    <mergeCell ref="U8:U10"/>
    <mergeCell ref="X9:X10"/>
    <mergeCell ref="Y9:Y10"/>
    <mergeCell ref="E8:F8"/>
    <mergeCell ref="D9:D10"/>
    <mergeCell ref="D7:F7"/>
    <mergeCell ref="G7:H7"/>
    <mergeCell ref="G8:H10"/>
    <mergeCell ref="I8:I10"/>
    <mergeCell ref="J8:J10"/>
    <mergeCell ref="B2:Y2"/>
    <mergeCell ref="G3:H3"/>
    <mergeCell ref="I3:J3"/>
    <mergeCell ref="K3:L3"/>
    <mergeCell ref="M3:N3"/>
    <mergeCell ref="O3:T3"/>
    <mergeCell ref="U3:Y3"/>
    <mergeCell ref="B3:E3"/>
    <mergeCell ref="G4:H5"/>
    <mergeCell ref="M4:N5"/>
    <mergeCell ref="O4:T5"/>
    <mergeCell ref="U4:Y5"/>
    <mergeCell ref="I4:J5"/>
    <mergeCell ref="K4:L5"/>
    <mergeCell ref="B4:E4"/>
    <mergeCell ref="B5:E5"/>
    <mergeCell ref="U44:V44"/>
    <mergeCell ref="U45:V45"/>
    <mergeCell ref="U46:V46"/>
    <mergeCell ref="K63:L63"/>
    <mergeCell ref="K71:L71"/>
    <mergeCell ref="K50:L50"/>
    <mergeCell ref="K48:L48"/>
    <mergeCell ref="K49:L49"/>
    <mergeCell ref="K76:L76"/>
    <mergeCell ref="K69:L69"/>
    <mergeCell ref="U52:V52"/>
    <mergeCell ref="U53:V53"/>
    <mergeCell ref="U47:V47"/>
    <mergeCell ref="U48:V48"/>
    <mergeCell ref="U49:V49"/>
    <mergeCell ref="U50:V50"/>
    <mergeCell ref="U51:V51"/>
    <mergeCell ref="U56:V56"/>
    <mergeCell ref="K47:L47"/>
    <mergeCell ref="K72:L72"/>
    <mergeCell ref="K65:L65"/>
    <mergeCell ref="K68:L68"/>
    <mergeCell ref="K67:L67"/>
    <mergeCell ref="U57:V57"/>
    <mergeCell ref="U12:V13"/>
    <mergeCell ref="B24:B33"/>
    <mergeCell ref="K18:L18"/>
    <mergeCell ref="K19:L19"/>
    <mergeCell ref="K20:L20"/>
    <mergeCell ref="K32:L32"/>
    <mergeCell ref="K33:L33"/>
    <mergeCell ref="D32:F32"/>
    <mergeCell ref="D33:F33"/>
    <mergeCell ref="K22:L22"/>
    <mergeCell ref="K23:L23"/>
    <mergeCell ref="K25:L25"/>
    <mergeCell ref="K30:L30"/>
    <mergeCell ref="K31:L31"/>
    <mergeCell ref="I25:J25"/>
    <mergeCell ref="I26:J26"/>
    <mergeCell ref="I27:J27"/>
    <mergeCell ref="I28:J28"/>
    <mergeCell ref="I29:J29"/>
    <mergeCell ref="D28:F28"/>
    <mergeCell ref="I12:J13"/>
    <mergeCell ref="U29:V29"/>
    <mergeCell ref="U30:V30"/>
    <mergeCell ref="U31:V31"/>
    <mergeCell ref="U37:V37"/>
    <mergeCell ref="U23:V23"/>
    <mergeCell ref="U38:V38"/>
    <mergeCell ref="U39:V39"/>
    <mergeCell ref="U40:V40"/>
    <mergeCell ref="U41:V41"/>
    <mergeCell ref="U42:V42"/>
    <mergeCell ref="K16:L16"/>
    <mergeCell ref="K17:L17"/>
    <mergeCell ref="U21:V21"/>
    <mergeCell ref="U22:V22"/>
    <mergeCell ref="U26:V26"/>
    <mergeCell ref="U27:V27"/>
    <mergeCell ref="U28:V28"/>
    <mergeCell ref="K26:L26"/>
    <mergeCell ref="K27:L27"/>
    <mergeCell ref="K28:L28"/>
    <mergeCell ref="K29:L29"/>
    <mergeCell ref="U19:V19"/>
    <mergeCell ref="U20:V20"/>
    <mergeCell ref="U18:V18"/>
    <mergeCell ref="K12:L13"/>
    <mergeCell ref="M12:N12"/>
    <mergeCell ref="P12:Q12"/>
    <mergeCell ref="R12:R13"/>
    <mergeCell ref="S12:S13"/>
    <mergeCell ref="I24:J24"/>
    <mergeCell ref="I15:J15"/>
    <mergeCell ref="I16:J16"/>
    <mergeCell ref="I18:J18"/>
    <mergeCell ref="I19:J19"/>
    <mergeCell ref="I20:J20"/>
    <mergeCell ref="I21:J21"/>
    <mergeCell ref="I14:J14"/>
    <mergeCell ref="K14:L14"/>
    <mergeCell ref="I17:J17"/>
    <mergeCell ref="K15:L15"/>
    <mergeCell ref="I22:J22"/>
    <mergeCell ref="I23:J23"/>
    <mergeCell ref="K21:L21"/>
    <mergeCell ref="U55:V55"/>
    <mergeCell ref="U60:V60"/>
    <mergeCell ref="U61:V61"/>
    <mergeCell ref="X82:Y82"/>
    <mergeCell ref="X83:Y83"/>
    <mergeCell ref="X78:Y78"/>
    <mergeCell ref="X79:Y79"/>
    <mergeCell ref="X80:Y80"/>
    <mergeCell ref="X81:Y81"/>
    <mergeCell ref="X76:Y76"/>
    <mergeCell ref="X77:Y77"/>
    <mergeCell ref="U75:V75"/>
    <mergeCell ref="U76:V76"/>
    <mergeCell ref="U77:V77"/>
    <mergeCell ref="U78:V78"/>
    <mergeCell ref="U79:V79"/>
    <mergeCell ref="U80:V80"/>
    <mergeCell ref="U81:V81"/>
    <mergeCell ref="U82:V82"/>
    <mergeCell ref="U83:V83"/>
    <mergeCell ref="X75:Y75"/>
    <mergeCell ref="K62:L62"/>
    <mergeCell ref="K60:L60"/>
    <mergeCell ref="K61:L61"/>
    <mergeCell ref="K57:L57"/>
    <mergeCell ref="K58:L58"/>
    <mergeCell ref="K59:L59"/>
    <mergeCell ref="U62:V62"/>
    <mergeCell ref="U58:V58"/>
    <mergeCell ref="U59:V59"/>
    <mergeCell ref="X65:Y65"/>
    <mergeCell ref="X66:Y66"/>
    <mergeCell ref="X67:Y67"/>
    <mergeCell ref="X68:Y68"/>
    <mergeCell ref="X63:Y63"/>
    <mergeCell ref="X64:Y64"/>
    <mergeCell ref="K70:L70"/>
    <mergeCell ref="K75:L75"/>
    <mergeCell ref="K73:L73"/>
    <mergeCell ref="U63:V63"/>
    <mergeCell ref="U64:V64"/>
    <mergeCell ref="U65:V65"/>
    <mergeCell ref="U67:V67"/>
    <mergeCell ref="U68:V68"/>
    <mergeCell ref="U69:V69"/>
    <mergeCell ref="U70:V70"/>
    <mergeCell ref="U71:V71"/>
    <mergeCell ref="U72:V72"/>
    <mergeCell ref="X59:Y59"/>
    <mergeCell ref="X46:Y46"/>
    <mergeCell ref="X60:Y60"/>
    <mergeCell ref="X61:Y61"/>
    <mergeCell ref="X56:Y56"/>
    <mergeCell ref="X47:Y47"/>
    <mergeCell ref="X48:Y48"/>
    <mergeCell ref="X38:Y38"/>
    <mergeCell ref="X39:Y39"/>
    <mergeCell ref="X40:Y40"/>
    <mergeCell ref="X41:Y41"/>
    <mergeCell ref="X49:Y49"/>
    <mergeCell ref="X51:Y51"/>
    <mergeCell ref="X52:Y52"/>
    <mergeCell ref="X53:Y53"/>
    <mergeCell ref="X54:Y54"/>
    <mergeCell ref="X55:Y55"/>
    <mergeCell ref="X50:Y50"/>
    <mergeCell ref="X57:Y57"/>
    <mergeCell ref="X58:Y58"/>
    <mergeCell ref="X37:Y37"/>
    <mergeCell ref="X42:Y42"/>
    <mergeCell ref="X43:Y43"/>
    <mergeCell ref="X44:Y44"/>
    <mergeCell ref="X45:Y45"/>
    <mergeCell ref="X24:Y24"/>
    <mergeCell ref="X26:Y26"/>
    <mergeCell ref="X27:Y27"/>
    <mergeCell ref="X28:Y28"/>
    <mergeCell ref="X29:Y29"/>
    <mergeCell ref="X30:Y30"/>
    <mergeCell ref="X25:Y25"/>
    <mergeCell ref="X35:Y35"/>
    <mergeCell ref="X36:Y36"/>
    <mergeCell ref="X34:Y34"/>
    <mergeCell ref="B9:B10"/>
    <mergeCell ref="C9:C10"/>
    <mergeCell ref="B11:B13"/>
    <mergeCell ref="C11:C13"/>
    <mergeCell ref="G11:G13"/>
    <mergeCell ref="H11:H13"/>
    <mergeCell ref="D17:F17"/>
    <mergeCell ref="E9:F10"/>
    <mergeCell ref="D15:F15"/>
    <mergeCell ref="D16:F16"/>
    <mergeCell ref="B14:B23"/>
    <mergeCell ref="D19:F19"/>
    <mergeCell ref="D20:F20"/>
    <mergeCell ref="D21:F21"/>
    <mergeCell ref="D22:F22"/>
    <mergeCell ref="D23:F23"/>
    <mergeCell ref="D18:F18"/>
    <mergeCell ref="D11:F13"/>
    <mergeCell ref="D14:F14"/>
    <mergeCell ref="I39:J39"/>
    <mergeCell ref="I40:J40"/>
    <mergeCell ref="I41:J41"/>
    <mergeCell ref="I30:J30"/>
    <mergeCell ref="I31:J31"/>
    <mergeCell ref="I32:J32"/>
    <mergeCell ref="I33:J33"/>
    <mergeCell ref="D62:F62"/>
    <mergeCell ref="D42:F42"/>
    <mergeCell ref="D53:F53"/>
    <mergeCell ref="D54:F54"/>
    <mergeCell ref="D55:F55"/>
    <mergeCell ref="D56:F56"/>
    <mergeCell ref="D43:F43"/>
    <mergeCell ref="D44:F44"/>
    <mergeCell ref="I51:J51"/>
    <mergeCell ref="I52:J52"/>
    <mergeCell ref="D47:F47"/>
    <mergeCell ref="I49:J49"/>
    <mergeCell ref="I50:J50"/>
    <mergeCell ref="I47:J47"/>
    <mergeCell ref="I48:J48"/>
    <mergeCell ref="D102:F102"/>
    <mergeCell ref="D103:F103"/>
    <mergeCell ref="D104:F104"/>
    <mergeCell ref="D105:F105"/>
    <mergeCell ref="D106:F106"/>
    <mergeCell ref="I75:J75"/>
    <mergeCell ref="I34:J34"/>
    <mergeCell ref="I35:J35"/>
    <mergeCell ref="D92:F92"/>
    <mergeCell ref="D87:F87"/>
    <mergeCell ref="D94:F94"/>
    <mergeCell ref="D95:F95"/>
    <mergeCell ref="D88:F88"/>
    <mergeCell ref="D38:F38"/>
    <mergeCell ref="D39:F39"/>
    <mergeCell ref="D45:F45"/>
    <mergeCell ref="D46:F46"/>
    <mergeCell ref="D40:F40"/>
    <mergeCell ref="D41:F41"/>
    <mergeCell ref="D37:F37"/>
    <mergeCell ref="I76:J76"/>
    <mergeCell ref="I36:J36"/>
    <mergeCell ref="I37:J37"/>
    <mergeCell ref="I38:J38"/>
    <mergeCell ref="D120:F120"/>
    <mergeCell ref="D121:F121"/>
    <mergeCell ref="D122:F122"/>
    <mergeCell ref="D123:F123"/>
    <mergeCell ref="D124:F124"/>
    <mergeCell ref="D114:F114"/>
    <mergeCell ref="D24:F24"/>
    <mergeCell ref="D25:F25"/>
    <mergeCell ref="D26:F26"/>
    <mergeCell ref="D27:F27"/>
    <mergeCell ref="D29:F29"/>
    <mergeCell ref="D112:F112"/>
    <mergeCell ref="D113:F113"/>
    <mergeCell ref="D108:F108"/>
    <mergeCell ref="D109:F109"/>
    <mergeCell ref="D110:F110"/>
    <mergeCell ref="D111:F111"/>
    <mergeCell ref="D96:F96"/>
    <mergeCell ref="D97:F97"/>
    <mergeCell ref="D98:F98"/>
    <mergeCell ref="D99:F99"/>
    <mergeCell ref="D107:F107"/>
    <mergeCell ref="D100:F100"/>
    <mergeCell ref="D101:F101"/>
    <mergeCell ref="D93:F93"/>
    <mergeCell ref="D90:F90"/>
    <mergeCell ref="D91:F91"/>
    <mergeCell ref="D60:F60"/>
    <mergeCell ref="D61:F61"/>
    <mergeCell ref="D72:F72"/>
    <mergeCell ref="D71:F71"/>
    <mergeCell ref="D75:F75"/>
    <mergeCell ref="D57:F57"/>
    <mergeCell ref="D84:F84"/>
    <mergeCell ref="I58:J58"/>
    <mergeCell ref="I59:J59"/>
    <mergeCell ref="I60:J60"/>
    <mergeCell ref="I61:J61"/>
    <mergeCell ref="I57:J57"/>
    <mergeCell ref="D59:F59"/>
    <mergeCell ref="D48:F48"/>
    <mergeCell ref="D52:F52"/>
    <mergeCell ref="I53:J53"/>
    <mergeCell ref="I54:J54"/>
    <mergeCell ref="D51:F51"/>
    <mergeCell ref="D50:F50"/>
    <mergeCell ref="D49:F49"/>
    <mergeCell ref="D89:F89"/>
    <mergeCell ref="D85:F85"/>
    <mergeCell ref="D36:F36"/>
    <mergeCell ref="D34:F34"/>
    <mergeCell ref="D35:F35"/>
    <mergeCell ref="D30:F30"/>
    <mergeCell ref="D31:F31"/>
    <mergeCell ref="D86:F86"/>
    <mergeCell ref="D73:F73"/>
    <mergeCell ref="D63:F63"/>
    <mergeCell ref="D70:F70"/>
    <mergeCell ref="D69:F69"/>
    <mergeCell ref="D68:F68"/>
    <mergeCell ref="D67:F67"/>
    <mergeCell ref="D66:F66"/>
    <mergeCell ref="D65:F65"/>
    <mergeCell ref="D64:F64"/>
    <mergeCell ref="D58:F58"/>
    <mergeCell ref="D74:F74"/>
    <mergeCell ref="B76:B83"/>
    <mergeCell ref="D76:F76"/>
    <mergeCell ref="D77:F77"/>
    <mergeCell ref="I77:J77"/>
    <mergeCell ref="K77:L77"/>
    <mergeCell ref="D78:F78"/>
    <mergeCell ref="I78:J78"/>
    <mergeCell ref="K78:L78"/>
    <mergeCell ref="D79:F79"/>
    <mergeCell ref="I79:J79"/>
    <mergeCell ref="K79:L79"/>
    <mergeCell ref="D80:F80"/>
    <mergeCell ref="I80:J80"/>
    <mergeCell ref="K80:L80"/>
    <mergeCell ref="D81:F81"/>
    <mergeCell ref="I81:J81"/>
    <mergeCell ref="K81:L81"/>
    <mergeCell ref="D82:F82"/>
    <mergeCell ref="I82:J82"/>
    <mergeCell ref="K82:L82"/>
    <mergeCell ref="D83:F83"/>
    <mergeCell ref="I83:J83"/>
    <mergeCell ref="K83:L83"/>
    <mergeCell ref="I74:J74"/>
    <mergeCell ref="K74:L74"/>
    <mergeCell ref="U74:V74"/>
    <mergeCell ref="X74:Y74"/>
    <mergeCell ref="I67:J67"/>
    <mergeCell ref="I66:J66"/>
    <mergeCell ref="I73:J73"/>
    <mergeCell ref="I72:J72"/>
    <mergeCell ref="I71:J71"/>
    <mergeCell ref="I70:J70"/>
    <mergeCell ref="X69:Y69"/>
    <mergeCell ref="X71:Y71"/>
    <mergeCell ref="X72:Y72"/>
    <mergeCell ref="X73:Y73"/>
    <mergeCell ref="U66:V66"/>
    <mergeCell ref="U73:V73"/>
    <mergeCell ref="I63:J63"/>
    <mergeCell ref="I65:J65"/>
    <mergeCell ref="I64:J64"/>
    <mergeCell ref="I69:J69"/>
    <mergeCell ref="I68:J68"/>
    <mergeCell ref="K64:L64"/>
    <mergeCell ref="X70:Y70"/>
    <mergeCell ref="B84:B93"/>
    <mergeCell ref="I84:J84"/>
    <mergeCell ref="K84:L84"/>
    <mergeCell ref="U84:V84"/>
    <mergeCell ref="X84:Y84"/>
    <mergeCell ref="I85:J85"/>
    <mergeCell ref="K85:L85"/>
    <mergeCell ref="U85:V85"/>
    <mergeCell ref="X85:Y85"/>
    <mergeCell ref="I86:J86"/>
    <mergeCell ref="K86:L86"/>
    <mergeCell ref="U86:V86"/>
    <mergeCell ref="X86:Y86"/>
    <mergeCell ref="I87:J87"/>
    <mergeCell ref="K87:L87"/>
    <mergeCell ref="U87:V87"/>
    <mergeCell ref="X87:Y87"/>
    <mergeCell ref="I88:J88"/>
    <mergeCell ref="K88:L88"/>
    <mergeCell ref="U88:V88"/>
    <mergeCell ref="X88:Y88"/>
    <mergeCell ref="I89:J89"/>
    <mergeCell ref="K89:L89"/>
    <mergeCell ref="U89:V89"/>
    <mergeCell ref="X89:Y89"/>
    <mergeCell ref="I90:J90"/>
    <mergeCell ref="K90:L90"/>
    <mergeCell ref="U90:V90"/>
    <mergeCell ref="X90:Y90"/>
    <mergeCell ref="I91:J91"/>
    <mergeCell ref="K91:L91"/>
    <mergeCell ref="U91:V91"/>
    <mergeCell ref="X91:Y91"/>
    <mergeCell ref="I92:J92"/>
    <mergeCell ref="K92:L92"/>
    <mergeCell ref="U92:V92"/>
    <mergeCell ref="X92:Y92"/>
    <mergeCell ref="I93:J93"/>
    <mergeCell ref="K93:L93"/>
    <mergeCell ref="U93:V93"/>
    <mergeCell ref="X93:Y93"/>
    <mergeCell ref="B94:B99"/>
    <mergeCell ref="I94:J94"/>
    <mergeCell ref="K94:L94"/>
    <mergeCell ref="U94:V94"/>
    <mergeCell ref="X94:Y94"/>
    <mergeCell ref="I95:J95"/>
    <mergeCell ref="K95:L95"/>
    <mergeCell ref="U95:V95"/>
    <mergeCell ref="X95:Y95"/>
    <mergeCell ref="I96:J96"/>
    <mergeCell ref="K96:L96"/>
    <mergeCell ref="U96:V96"/>
    <mergeCell ref="X96:Y96"/>
    <mergeCell ref="I97:J97"/>
    <mergeCell ref="K97:L97"/>
    <mergeCell ref="U97:V97"/>
    <mergeCell ref="X97:Y97"/>
    <mergeCell ref="I98:J98"/>
    <mergeCell ref="K98:L98"/>
    <mergeCell ref="U98:V98"/>
    <mergeCell ref="X98:Y98"/>
    <mergeCell ref="I99:J99"/>
    <mergeCell ref="K99:L99"/>
    <mergeCell ref="U99:V99"/>
    <mergeCell ref="X99:Y99"/>
    <mergeCell ref="U104:V104"/>
    <mergeCell ref="X104:Y104"/>
    <mergeCell ref="I105:J105"/>
    <mergeCell ref="K105:L105"/>
    <mergeCell ref="U105:V105"/>
    <mergeCell ref="I107:J107"/>
    <mergeCell ref="K107:L107"/>
    <mergeCell ref="U107:V107"/>
    <mergeCell ref="X107:Y107"/>
    <mergeCell ref="X105:Y105"/>
    <mergeCell ref="I106:J106"/>
    <mergeCell ref="K106:L106"/>
    <mergeCell ref="U106:V106"/>
    <mergeCell ref="X106:Y106"/>
    <mergeCell ref="B100:B106"/>
    <mergeCell ref="I100:J100"/>
    <mergeCell ref="K100:L100"/>
    <mergeCell ref="U100:V100"/>
    <mergeCell ref="X100:Y100"/>
    <mergeCell ref="I101:J101"/>
    <mergeCell ref="K101:L101"/>
    <mergeCell ref="U101:V101"/>
    <mergeCell ref="X101:Y101"/>
    <mergeCell ref="I102:J102"/>
    <mergeCell ref="K102:L102"/>
    <mergeCell ref="U102:V102"/>
    <mergeCell ref="X102:Y102"/>
    <mergeCell ref="I103:J103"/>
    <mergeCell ref="K103:L103"/>
    <mergeCell ref="U103:V103"/>
    <mergeCell ref="X103:Y103"/>
    <mergeCell ref="I104:J104"/>
    <mergeCell ref="K104:L104"/>
    <mergeCell ref="X108:Y108"/>
    <mergeCell ref="I109:J109"/>
    <mergeCell ref="K109:L109"/>
    <mergeCell ref="U109:V109"/>
    <mergeCell ref="X109:Y109"/>
    <mergeCell ref="I110:J110"/>
    <mergeCell ref="K110:L110"/>
    <mergeCell ref="U110:V110"/>
    <mergeCell ref="X110:Y110"/>
    <mergeCell ref="B107:B113"/>
    <mergeCell ref="I115:J115"/>
    <mergeCell ref="K115:L115"/>
    <mergeCell ref="U115:V115"/>
    <mergeCell ref="X115:Y115"/>
    <mergeCell ref="I116:J116"/>
    <mergeCell ref="K116:L116"/>
    <mergeCell ref="U116:V116"/>
    <mergeCell ref="X116:Y116"/>
    <mergeCell ref="I111:J111"/>
    <mergeCell ref="K111:L111"/>
    <mergeCell ref="U111:V111"/>
    <mergeCell ref="X111:Y111"/>
    <mergeCell ref="I112:J112"/>
    <mergeCell ref="K112:L112"/>
    <mergeCell ref="U112:V112"/>
    <mergeCell ref="X112:Y112"/>
    <mergeCell ref="I113:J113"/>
    <mergeCell ref="K113:L113"/>
    <mergeCell ref="U113:V113"/>
    <mergeCell ref="X113:Y113"/>
    <mergeCell ref="I108:J108"/>
    <mergeCell ref="K108:L108"/>
    <mergeCell ref="U108:V108"/>
    <mergeCell ref="U125:V125"/>
    <mergeCell ref="X125:Y125"/>
    <mergeCell ref="X119:Y119"/>
    <mergeCell ref="D119:F119"/>
    <mergeCell ref="D118:F118"/>
    <mergeCell ref="D117:F117"/>
    <mergeCell ref="D116:F116"/>
    <mergeCell ref="D115:F115"/>
    <mergeCell ref="B114:B119"/>
    <mergeCell ref="I114:J114"/>
    <mergeCell ref="K114:L114"/>
    <mergeCell ref="U114:V114"/>
    <mergeCell ref="X114:Y114"/>
    <mergeCell ref="I117:J117"/>
    <mergeCell ref="K117:L117"/>
    <mergeCell ref="U117:V117"/>
    <mergeCell ref="X117:Y117"/>
    <mergeCell ref="I118:J118"/>
    <mergeCell ref="K118:L118"/>
    <mergeCell ref="U118:V118"/>
    <mergeCell ref="X118:Y118"/>
    <mergeCell ref="I119:J119"/>
    <mergeCell ref="K119:L119"/>
    <mergeCell ref="U119:V119"/>
    <mergeCell ref="B120:B125"/>
    <mergeCell ref="I120:J120"/>
    <mergeCell ref="K120:L120"/>
    <mergeCell ref="U120:V120"/>
    <mergeCell ref="X120:Y120"/>
    <mergeCell ref="I121:J121"/>
    <mergeCell ref="K121:L121"/>
    <mergeCell ref="U121:V121"/>
    <mergeCell ref="X121:Y121"/>
    <mergeCell ref="I122:J122"/>
    <mergeCell ref="K122:L122"/>
    <mergeCell ref="U122:V122"/>
    <mergeCell ref="X122:Y122"/>
    <mergeCell ref="I123:J123"/>
    <mergeCell ref="K123:L123"/>
    <mergeCell ref="U123:V123"/>
    <mergeCell ref="X123:Y123"/>
    <mergeCell ref="I124:J124"/>
    <mergeCell ref="K124:L124"/>
    <mergeCell ref="U124:V124"/>
    <mergeCell ref="X124:Y124"/>
    <mergeCell ref="D125:F125"/>
    <mergeCell ref="I125:J125"/>
    <mergeCell ref="K125:L12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T1 (% Reg)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Ocampo Jaramillo</dc:creator>
  <cp:lastModifiedBy>Juan Fernando  Montoya Ortiz</cp:lastModifiedBy>
  <dcterms:created xsi:type="dcterms:W3CDTF">2017-04-30T23:33:45Z</dcterms:created>
  <dcterms:modified xsi:type="dcterms:W3CDTF">2026-07-12T05:26:26Z</dcterms:modified>
</cp:coreProperties>
</file>